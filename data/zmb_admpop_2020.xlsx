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OCHA\CODS\Countries\ZMB\ZMB 2021_03_31 FIS\"/>
    </mc:Choice>
  </mc:AlternateContent>
  <xr:revisionPtr revIDLastSave="0" documentId="8_{8DCC2FFE-0066-4A99-82BA-5641E09C8CDB}" xr6:coauthVersionLast="45" xr6:coauthVersionMax="45" xr10:uidLastSave="{00000000-0000-0000-0000-000000000000}"/>
  <bookViews>
    <workbookView xWindow="-108" yWindow="-108" windowWidth="23256" windowHeight="12576" firstSheet="3" activeTab="6" xr2:uid="{00000000-000D-0000-FFFF-FFFF00000000}"/>
  </bookViews>
  <sheets>
    <sheet name="AB-ADM1" sheetId="9" r:id="rId1"/>
    <sheet name="AB-ADM2" sheetId="8" r:id="rId2"/>
    <sheet name="zmb_admpop_adm0_2020" sheetId="6" r:id="rId3"/>
    <sheet name="zmb_admpop_adm1_2020" sheetId="7" r:id="rId4"/>
    <sheet name="zmb_admpop_adm2_2020" sheetId="5" r:id="rId5"/>
    <sheet name="zmb_admpop_adm3_2020" sheetId="4" r:id="rId6"/>
    <sheet name="Metadata" sheetId="1" r:id="rId7"/>
  </sheets>
  <definedNames>
    <definedName name="_xlnm._FilterDatabase" localSheetId="1" hidden="1">'AB-ADM2'!$A$1:$L$520</definedName>
    <definedName name="_xlnm._FilterDatabase" localSheetId="4" hidden="1">zmb_admpop_adm2_2020!$A$1:$BH$75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9" l="1"/>
  <c r="E2" i="9"/>
  <c r="E3" i="8"/>
  <c r="E517" i="8"/>
  <c r="E505" i="8"/>
  <c r="E133" i="8"/>
  <c r="E11" i="9"/>
  <c r="E10" i="9"/>
  <c r="E9" i="9"/>
  <c r="E8" i="9"/>
  <c r="E7" i="9"/>
  <c r="E6" i="9"/>
  <c r="E5" i="9"/>
  <c r="E4" i="9"/>
  <c r="E469" i="8"/>
  <c r="E337" i="8"/>
  <c r="E205" i="8"/>
  <c r="E85" i="8"/>
  <c r="E518" i="8"/>
  <c r="E506" i="8"/>
  <c r="E494" i="8"/>
  <c r="E482" i="8"/>
  <c r="E470" i="8"/>
  <c r="E458" i="8"/>
  <c r="E446" i="8"/>
  <c r="E434" i="8"/>
  <c r="E422" i="8"/>
  <c r="E410" i="8"/>
  <c r="E398" i="8"/>
  <c r="E386" i="8"/>
  <c r="E374" i="8"/>
  <c r="E362" i="8"/>
  <c r="E350" i="8"/>
  <c r="E338" i="8"/>
  <c r="E326" i="8"/>
  <c r="E314" i="8"/>
  <c r="E302" i="8"/>
  <c r="E290" i="8"/>
  <c r="E278" i="8"/>
  <c r="E266" i="8"/>
  <c r="E254" i="8"/>
  <c r="E242" i="8"/>
  <c r="E230" i="8"/>
  <c r="E218" i="8"/>
  <c r="E206" i="8"/>
  <c r="E194" i="8"/>
  <c r="E182" i="8"/>
  <c r="E170" i="8"/>
  <c r="E158" i="8"/>
  <c r="E146" i="8"/>
  <c r="E134" i="8"/>
  <c r="E122" i="8"/>
  <c r="E110" i="8"/>
  <c r="E98" i="8"/>
  <c r="E86" i="8"/>
  <c r="E74" i="8"/>
  <c r="E62" i="8"/>
  <c r="E50" i="8"/>
  <c r="E38" i="8"/>
  <c r="E26" i="8"/>
  <c r="E14" i="8"/>
  <c r="E409" i="8"/>
  <c r="E265" i="8"/>
  <c r="E145" i="8"/>
  <c r="E13" i="8"/>
  <c r="E516" i="8"/>
  <c r="E504" i="8"/>
  <c r="E492" i="8"/>
  <c r="E480" i="8"/>
  <c r="E468" i="8"/>
  <c r="E456" i="8"/>
  <c r="E444" i="8"/>
  <c r="E432" i="8"/>
  <c r="E420" i="8"/>
  <c r="E408" i="8"/>
  <c r="E396" i="8"/>
  <c r="E384" i="8"/>
  <c r="E372" i="8"/>
  <c r="E360" i="8"/>
  <c r="E348" i="8"/>
  <c r="E336" i="8"/>
  <c r="E324" i="8"/>
  <c r="E312" i="8"/>
  <c r="E300" i="8"/>
  <c r="E288" i="8"/>
  <c r="E276" i="8"/>
  <c r="E264" i="8"/>
  <c r="E252" i="8"/>
  <c r="E240" i="8"/>
  <c r="E228" i="8"/>
  <c r="E216" i="8"/>
  <c r="E204" i="8"/>
  <c r="E192" i="8"/>
  <c r="E180" i="8"/>
  <c r="E168" i="8"/>
  <c r="E156" i="8"/>
  <c r="E144" i="8"/>
  <c r="E132" i="8"/>
  <c r="E120" i="8"/>
  <c r="E108" i="8"/>
  <c r="E96" i="8"/>
  <c r="E84" i="8"/>
  <c r="E72" i="8"/>
  <c r="E60" i="8"/>
  <c r="E48" i="8"/>
  <c r="E36" i="8"/>
  <c r="E24" i="8"/>
  <c r="E12" i="8"/>
  <c r="E397" i="8"/>
  <c r="E277" i="8"/>
  <c r="E169" i="8"/>
  <c r="E49" i="8"/>
  <c r="E515" i="8"/>
  <c r="E503" i="8"/>
  <c r="E491" i="8"/>
  <c r="E479" i="8"/>
  <c r="E467" i="8"/>
  <c r="E455" i="8"/>
  <c r="E443" i="8"/>
  <c r="E431" i="8"/>
  <c r="E419" i="8"/>
  <c r="E407" i="8"/>
  <c r="E395" i="8"/>
  <c r="E383" i="8"/>
  <c r="E371" i="8"/>
  <c r="E359" i="8"/>
  <c r="E347" i="8"/>
  <c r="E335" i="8"/>
  <c r="E323" i="8"/>
  <c r="E311" i="8"/>
  <c r="E299" i="8"/>
  <c r="E287" i="8"/>
  <c r="E275" i="8"/>
  <c r="E263" i="8"/>
  <c r="E251" i="8"/>
  <c r="E239" i="8"/>
  <c r="E227" i="8"/>
  <c r="E215" i="8"/>
  <c r="E203" i="8"/>
  <c r="E191" i="8"/>
  <c r="E179" i="8"/>
  <c r="E167" i="8"/>
  <c r="E155" i="8"/>
  <c r="E143" i="8"/>
  <c r="E131" i="8"/>
  <c r="E119" i="8"/>
  <c r="E107" i="8"/>
  <c r="E95" i="8"/>
  <c r="E83" i="8"/>
  <c r="E71" i="8"/>
  <c r="E59" i="8"/>
  <c r="E47" i="8"/>
  <c r="E35" i="8"/>
  <c r="E23" i="8"/>
  <c r="E11" i="8"/>
  <c r="E385" i="8"/>
  <c r="E253" i="8"/>
  <c r="E121" i="8"/>
  <c r="E25" i="8"/>
  <c r="E514" i="8"/>
  <c r="E502" i="8"/>
  <c r="E490" i="8"/>
  <c r="E478" i="8"/>
  <c r="E466" i="8"/>
  <c r="E454" i="8"/>
  <c r="E442" i="8"/>
  <c r="E430" i="8"/>
  <c r="E418" i="8"/>
  <c r="E406" i="8"/>
  <c r="E394" i="8"/>
  <c r="E382" i="8"/>
  <c r="E370" i="8"/>
  <c r="E358" i="8"/>
  <c r="E346" i="8"/>
  <c r="E334" i="8"/>
  <c r="E322" i="8"/>
  <c r="E310" i="8"/>
  <c r="E298" i="8"/>
  <c r="E286" i="8"/>
  <c r="E274" i="8"/>
  <c r="E262" i="8"/>
  <c r="E250" i="8"/>
  <c r="E238" i="8"/>
  <c r="E226" i="8"/>
  <c r="E214" i="8"/>
  <c r="E202" i="8"/>
  <c r="E190" i="8"/>
  <c r="E178" i="8"/>
  <c r="E166" i="8"/>
  <c r="E154" i="8"/>
  <c r="E142" i="8"/>
  <c r="E130" i="8"/>
  <c r="E118" i="8"/>
  <c r="E106" i="8"/>
  <c r="E94" i="8"/>
  <c r="E82" i="8"/>
  <c r="E70" i="8"/>
  <c r="E58" i="8"/>
  <c r="E46" i="8"/>
  <c r="E34" i="8"/>
  <c r="E22" i="8"/>
  <c r="E10" i="8"/>
  <c r="E433" i="8"/>
  <c r="E301" i="8"/>
  <c r="E193" i="8"/>
  <c r="E61" i="8"/>
  <c r="E513" i="8"/>
  <c r="E501" i="8"/>
  <c r="E489" i="8"/>
  <c r="E477" i="8"/>
  <c r="E465" i="8"/>
  <c r="E453" i="8"/>
  <c r="E441" i="8"/>
  <c r="E429" i="8"/>
  <c r="E417" i="8"/>
  <c r="E405" i="8"/>
  <c r="E393" i="8"/>
  <c r="E381" i="8"/>
  <c r="E369" i="8"/>
  <c r="E357" i="8"/>
  <c r="E345" i="8"/>
  <c r="E333" i="8"/>
  <c r="E321" i="8"/>
  <c r="E309" i="8"/>
  <c r="E297" i="8"/>
  <c r="E285" i="8"/>
  <c r="E273" i="8"/>
  <c r="E261" i="8"/>
  <c r="E249" i="8"/>
  <c r="E237" i="8"/>
  <c r="E225" i="8"/>
  <c r="E213" i="8"/>
  <c r="E201" i="8"/>
  <c r="E189" i="8"/>
  <c r="E177" i="8"/>
  <c r="E165" i="8"/>
  <c r="E153" i="8"/>
  <c r="E141" i="8"/>
  <c r="E129" i="8"/>
  <c r="E117" i="8"/>
  <c r="E105" i="8"/>
  <c r="E93" i="8"/>
  <c r="E81" i="8"/>
  <c r="E69" i="8"/>
  <c r="E57" i="8"/>
  <c r="E45" i="8"/>
  <c r="E33" i="8"/>
  <c r="E21" i="8"/>
  <c r="E9" i="8"/>
  <c r="E421" i="8"/>
  <c r="E289" i="8"/>
  <c r="E181" i="8"/>
  <c r="E37" i="8"/>
  <c r="E512" i="8"/>
  <c r="E500" i="8"/>
  <c r="E488" i="8"/>
  <c r="E476" i="8"/>
  <c r="E464" i="8"/>
  <c r="E452" i="8"/>
  <c r="E440" i="8"/>
  <c r="E428" i="8"/>
  <c r="E416" i="8"/>
  <c r="E404" i="8"/>
  <c r="E392" i="8"/>
  <c r="E380" i="8"/>
  <c r="E368" i="8"/>
  <c r="E356" i="8"/>
  <c r="E344" i="8"/>
  <c r="E332" i="8"/>
  <c r="E320" i="8"/>
  <c r="E308" i="8"/>
  <c r="E296" i="8"/>
  <c r="E284" i="8"/>
  <c r="E272" i="8"/>
  <c r="E260" i="8"/>
  <c r="E248" i="8"/>
  <c r="E236" i="8"/>
  <c r="E224" i="8"/>
  <c r="E212" i="8"/>
  <c r="E200" i="8"/>
  <c r="E188" i="8"/>
  <c r="E176" i="8"/>
  <c r="E164" i="8"/>
  <c r="E152" i="8"/>
  <c r="E140" i="8"/>
  <c r="E128" i="8"/>
  <c r="E116" i="8"/>
  <c r="E104" i="8"/>
  <c r="E92" i="8"/>
  <c r="E80" i="8"/>
  <c r="E68" i="8"/>
  <c r="E56" i="8"/>
  <c r="E44" i="8"/>
  <c r="E32" i="8"/>
  <c r="E20" i="8"/>
  <c r="E8" i="8"/>
  <c r="E493" i="8"/>
  <c r="E361" i="8"/>
  <c r="E217" i="8"/>
  <c r="E73" i="8"/>
  <c r="E511" i="8"/>
  <c r="E499" i="8"/>
  <c r="E487" i="8"/>
  <c r="E475" i="8"/>
  <c r="E463" i="8"/>
  <c r="E451" i="8"/>
  <c r="E439" i="8"/>
  <c r="E427" i="8"/>
  <c r="E415" i="8"/>
  <c r="E403" i="8"/>
  <c r="E391" i="8"/>
  <c r="E379" i="8"/>
  <c r="E367" i="8"/>
  <c r="E355" i="8"/>
  <c r="E343" i="8"/>
  <c r="E331" i="8"/>
  <c r="E319" i="8"/>
  <c r="E307" i="8"/>
  <c r="E295" i="8"/>
  <c r="E283" i="8"/>
  <c r="E271" i="8"/>
  <c r="E259" i="8"/>
  <c r="E247" i="8"/>
  <c r="E235" i="8"/>
  <c r="E223" i="8"/>
  <c r="E211" i="8"/>
  <c r="E199" i="8"/>
  <c r="E187" i="8"/>
  <c r="E175" i="8"/>
  <c r="E163" i="8"/>
  <c r="E151" i="8"/>
  <c r="E139" i="8"/>
  <c r="E127" i="8"/>
  <c r="E115" i="8"/>
  <c r="E103" i="8"/>
  <c r="E91" i="8"/>
  <c r="E79" i="8"/>
  <c r="E67" i="8"/>
  <c r="E55" i="8"/>
  <c r="E43" i="8"/>
  <c r="E31" i="8"/>
  <c r="E19" i="8"/>
  <c r="E7" i="8"/>
  <c r="E373" i="8"/>
  <c r="E229" i="8"/>
  <c r="E109" i="8"/>
  <c r="E510" i="8"/>
  <c r="E498" i="8"/>
  <c r="E486" i="8"/>
  <c r="E474" i="8"/>
  <c r="E462" i="8"/>
  <c r="E450" i="8"/>
  <c r="E438" i="8"/>
  <c r="E426" i="8"/>
  <c r="E414" i="8"/>
  <c r="E402" i="8"/>
  <c r="E390" i="8"/>
  <c r="E378" i="8"/>
  <c r="E366" i="8"/>
  <c r="E354" i="8"/>
  <c r="E342" i="8"/>
  <c r="E330" i="8"/>
  <c r="E318" i="8"/>
  <c r="E306" i="8"/>
  <c r="E294" i="8"/>
  <c r="E282" i="8"/>
  <c r="E270" i="8"/>
  <c r="E258" i="8"/>
  <c r="E246" i="8"/>
  <c r="E234" i="8"/>
  <c r="E222" i="8"/>
  <c r="E210" i="8"/>
  <c r="E198" i="8"/>
  <c r="E186" i="8"/>
  <c r="E174" i="8"/>
  <c r="E162" i="8"/>
  <c r="E150" i="8"/>
  <c r="E138" i="8"/>
  <c r="E126" i="8"/>
  <c r="E114" i="8"/>
  <c r="E102" i="8"/>
  <c r="E90" i="8"/>
  <c r="E78" i="8"/>
  <c r="E66" i="8"/>
  <c r="E54" i="8"/>
  <c r="E42" i="8"/>
  <c r="E30" i="8"/>
  <c r="E18" i="8"/>
  <c r="E6" i="8"/>
  <c r="E457" i="8"/>
  <c r="E325" i="8"/>
  <c r="E157" i="8"/>
  <c r="E2" i="8"/>
  <c r="E509" i="8"/>
  <c r="E497" i="8"/>
  <c r="E485" i="8"/>
  <c r="E473" i="8"/>
  <c r="E461" i="8"/>
  <c r="E449" i="8"/>
  <c r="E437" i="8"/>
  <c r="E425" i="8"/>
  <c r="E413" i="8"/>
  <c r="E401" i="8"/>
  <c r="E389" i="8"/>
  <c r="E377" i="8"/>
  <c r="E365" i="8"/>
  <c r="E353" i="8"/>
  <c r="E341" i="8"/>
  <c r="E329" i="8"/>
  <c r="E317" i="8"/>
  <c r="E305" i="8"/>
  <c r="E293" i="8"/>
  <c r="E281" i="8"/>
  <c r="E269" i="8"/>
  <c r="E257" i="8"/>
  <c r="E245" i="8"/>
  <c r="E233" i="8"/>
  <c r="E221" i="8"/>
  <c r="E209" i="8"/>
  <c r="E197" i="8"/>
  <c r="E185" i="8"/>
  <c r="E173" i="8"/>
  <c r="E161" i="8"/>
  <c r="E149" i="8"/>
  <c r="E137" i="8"/>
  <c r="E125" i="8"/>
  <c r="E113" i="8"/>
  <c r="E101" i="8"/>
  <c r="E89" i="8"/>
  <c r="E77" i="8"/>
  <c r="E65" i="8"/>
  <c r="E53" i="8"/>
  <c r="E41" i="8"/>
  <c r="E29" i="8"/>
  <c r="E17" i="8"/>
  <c r="E5" i="8"/>
  <c r="E481" i="8"/>
  <c r="E349" i="8"/>
  <c r="E241" i="8"/>
  <c r="E97" i="8"/>
  <c r="E520" i="8"/>
  <c r="E508" i="8"/>
  <c r="E496" i="8"/>
  <c r="E484" i="8"/>
  <c r="E472" i="8"/>
  <c r="E460" i="8"/>
  <c r="E448" i="8"/>
  <c r="E436" i="8"/>
  <c r="E424" i="8"/>
  <c r="E412" i="8"/>
  <c r="E400" i="8"/>
  <c r="E388" i="8"/>
  <c r="E376" i="8"/>
  <c r="E364" i="8"/>
  <c r="E352" i="8"/>
  <c r="E340" i="8"/>
  <c r="E328" i="8"/>
  <c r="E316" i="8"/>
  <c r="E304" i="8"/>
  <c r="E292" i="8"/>
  <c r="E280" i="8"/>
  <c r="E268" i="8"/>
  <c r="E256" i="8"/>
  <c r="E244" i="8"/>
  <c r="E232" i="8"/>
  <c r="E220" i="8"/>
  <c r="E208" i="8"/>
  <c r="E196" i="8"/>
  <c r="E184" i="8"/>
  <c r="E172" i="8"/>
  <c r="E160" i="8"/>
  <c r="E148" i="8"/>
  <c r="E136" i="8"/>
  <c r="E124" i="8"/>
  <c r="E112" i="8"/>
  <c r="E100" i="8"/>
  <c r="E88" i="8"/>
  <c r="E76" i="8"/>
  <c r="E64" i="8"/>
  <c r="E52" i="8"/>
  <c r="E40" i="8"/>
  <c r="E28" i="8"/>
  <c r="E16" i="8"/>
  <c r="E4" i="8"/>
  <c r="E445" i="8"/>
  <c r="E313" i="8"/>
  <c r="E519" i="8"/>
  <c r="E507" i="8"/>
  <c r="E495" i="8"/>
  <c r="E483" i="8"/>
  <c r="E471" i="8"/>
  <c r="E459" i="8"/>
  <c r="E447" i="8"/>
  <c r="E435" i="8"/>
  <c r="E423" i="8"/>
  <c r="E411" i="8"/>
  <c r="E399" i="8"/>
  <c r="E387" i="8"/>
  <c r="E375" i="8"/>
  <c r="E363" i="8"/>
  <c r="E351" i="8"/>
  <c r="E339" i="8"/>
  <c r="E327" i="8"/>
  <c r="E315" i="8"/>
  <c r="E303" i="8"/>
  <c r="E291" i="8"/>
  <c r="E279" i="8"/>
  <c r="E267" i="8"/>
  <c r="E255" i="8"/>
  <c r="E243" i="8"/>
  <c r="E231" i="8"/>
  <c r="E219" i="8"/>
  <c r="E207" i="8"/>
  <c r="E195" i="8"/>
  <c r="E183" i="8"/>
  <c r="E171" i="8"/>
  <c r="E159" i="8"/>
  <c r="E147" i="8"/>
  <c r="E135" i="8"/>
  <c r="E123" i="8"/>
  <c r="E111" i="8"/>
  <c r="E99" i="8"/>
  <c r="E87" i="8"/>
  <c r="E75" i="8"/>
  <c r="E63" i="8"/>
  <c r="E51" i="8"/>
  <c r="E39" i="8"/>
  <c r="E27" i="8"/>
  <c r="E15" i="8"/>
</calcChain>
</file>

<file path=xl/sharedStrings.xml><?xml version="1.0" encoding="utf-8"?>
<sst xmlns="http://schemas.openxmlformats.org/spreadsheetml/2006/main" count="2843" uniqueCount="546">
  <si>
    <t>Item</t>
  </si>
  <si>
    <t>Metadata</t>
  </si>
  <si>
    <t>Country</t>
  </si>
  <si>
    <t>Zambia</t>
  </si>
  <si>
    <t>Baseline population</t>
  </si>
  <si>
    <t xml:space="preserve">2010 </t>
  </si>
  <si>
    <t>Reference year of projections</t>
  </si>
  <si>
    <t>2020</t>
  </si>
  <si>
    <t>Source(s)</t>
  </si>
  <si>
    <t>United States Census Bureau</t>
  </si>
  <si>
    <t>Source(s) Link(s)</t>
  </si>
  <si>
    <t>https://www.census.gov/data/tables/time-series/demo/international-programs/subnationalpopulation.html</t>
  </si>
  <si>
    <t>Methods</t>
  </si>
  <si>
    <t>Year of publication</t>
  </si>
  <si>
    <t>2013</t>
  </si>
  <si>
    <t>ADM1 Name</t>
  </si>
  <si>
    <t>Provinces</t>
  </si>
  <si>
    <t>ADM1 Number of units</t>
  </si>
  <si>
    <t>10</t>
  </si>
  <si>
    <t>ADM1 Age-and-Sex disaggregation</t>
  </si>
  <si>
    <t>5 year age-groups, SAD integrated</t>
  </si>
  <si>
    <t>ADM1 Open-ended group</t>
  </si>
  <si>
    <t>80+</t>
  </si>
  <si>
    <t>ADM2 Name</t>
  </si>
  <si>
    <t>Districts</t>
  </si>
  <si>
    <t>ADM2 Number of units</t>
  </si>
  <si>
    <t>74</t>
  </si>
  <si>
    <t>ADM2 Age-and-Sex disaggregation</t>
  </si>
  <si>
    <t>ADM2 Open-ended group</t>
  </si>
  <si>
    <t>ADM3 Name</t>
  </si>
  <si>
    <t>Constituencies</t>
  </si>
  <si>
    <t>ADM3 Number of units</t>
  </si>
  <si>
    <t>150</t>
  </si>
  <si>
    <t>ADM3 Age-and-Sex disaggregation</t>
  </si>
  <si>
    <t>ADM3 Open-ended group</t>
  </si>
  <si>
    <t>Limitations of use and general Notes</t>
  </si>
  <si>
    <t/>
  </si>
  <si>
    <t>ADM0_EN</t>
  </si>
  <si>
    <t>ADM1_EN</t>
  </si>
  <si>
    <t>ADM2_EN</t>
  </si>
  <si>
    <t>ADM3_EN</t>
  </si>
  <si>
    <t>Year</t>
  </si>
  <si>
    <t>Both_TOTL</t>
  </si>
  <si>
    <t>Both_0004</t>
  </si>
  <si>
    <t>Both_0509</t>
  </si>
  <si>
    <t>Both_1014</t>
  </si>
  <si>
    <t>Both_1519</t>
  </si>
  <si>
    <t>Both_2024</t>
  </si>
  <si>
    <t>Both_2529</t>
  </si>
  <si>
    <t>Both_3034</t>
  </si>
  <si>
    <t>Both_3539</t>
  </si>
  <si>
    <t>Both_4044</t>
  </si>
  <si>
    <t>Both_4549</t>
  </si>
  <si>
    <t>Both_5054</t>
  </si>
  <si>
    <t>Both_5559</t>
  </si>
  <si>
    <t>Both_6064</t>
  </si>
  <si>
    <t>Both_6569</t>
  </si>
  <si>
    <t>Both_7074</t>
  </si>
  <si>
    <t>Both_7579</t>
  </si>
  <si>
    <t>Both_80PL</t>
  </si>
  <si>
    <t>Male_TOTL</t>
  </si>
  <si>
    <t>Male_0004</t>
  </si>
  <si>
    <t>Male_0509</t>
  </si>
  <si>
    <t>Male_1014</t>
  </si>
  <si>
    <t>Male_1519</t>
  </si>
  <si>
    <t>Male_2024</t>
  </si>
  <si>
    <t>Male_2529</t>
  </si>
  <si>
    <t>Male_3034</t>
  </si>
  <si>
    <t>Male_3539</t>
  </si>
  <si>
    <t>Male_4044</t>
  </si>
  <si>
    <t>Male_4549</t>
  </si>
  <si>
    <t>Male_5054</t>
  </si>
  <si>
    <t>Male_5559</t>
  </si>
  <si>
    <t>Male_6064</t>
  </si>
  <si>
    <t>Male_6569</t>
  </si>
  <si>
    <t>Male_7074</t>
  </si>
  <si>
    <t>Male_7579</t>
  </si>
  <si>
    <t>Male_80PL</t>
  </si>
  <si>
    <t>Female_TOTL</t>
  </si>
  <si>
    <t>Female_0004</t>
  </si>
  <si>
    <t>Female_0509</t>
  </si>
  <si>
    <t>Female_1014</t>
  </si>
  <si>
    <t>Female_1519</t>
  </si>
  <si>
    <t>Female_2024</t>
  </si>
  <si>
    <t>Female_2529</t>
  </si>
  <si>
    <t>Female_3034</t>
  </si>
  <si>
    <t>Female_3539</t>
  </si>
  <si>
    <t>Female_4044</t>
  </si>
  <si>
    <t>Female_4549</t>
  </si>
  <si>
    <t>Female_5054</t>
  </si>
  <si>
    <t>Female_5559</t>
  </si>
  <si>
    <t>Female_6064</t>
  </si>
  <si>
    <t>Female_6569</t>
  </si>
  <si>
    <t>Female_7074</t>
  </si>
  <si>
    <t>Female_7579</t>
  </si>
  <si>
    <t>Female_80PL</t>
  </si>
  <si>
    <t>CENTRAL</t>
  </si>
  <si>
    <t>CHIBOMBO</t>
  </si>
  <si>
    <t>CHISAMBA</t>
  </si>
  <si>
    <t>KATUBA</t>
  </si>
  <si>
    <t>KEEMBE</t>
  </si>
  <si>
    <t>KABWE</t>
  </si>
  <si>
    <t>BWACHA</t>
  </si>
  <si>
    <t>KABWE CENTRAL</t>
  </si>
  <si>
    <t>KAPIRI MPOSHI</t>
  </si>
  <si>
    <t>MKUSHI</t>
  </si>
  <si>
    <t>MKUSHI NORTH</t>
  </si>
  <si>
    <t>MKUSHI SOUTH</t>
  </si>
  <si>
    <t>MUMBWA</t>
  </si>
  <si>
    <t>MWEMBESHI</t>
  </si>
  <si>
    <t>NANGOMA</t>
  </si>
  <si>
    <t>SERENJE</t>
  </si>
  <si>
    <t>CHITAMBO</t>
  </si>
  <si>
    <t>MUCHINGA</t>
  </si>
  <si>
    <t>COPPERBELT</t>
  </si>
  <si>
    <t>CHILILABOMBWE</t>
  </si>
  <si>
    <t>CHINGOLA</t>
  </si>
  <si>
    <t>NCHANGA</t>
  </si>
  <si>
    <t>KALULUSHI</t>
  </si>
  <si>
    <t>KITWE</t>
  </si>
  <si>
    <t>CHIMWEMWE</t>
  </si>
  <si>
    <t>KAMFINSA</t>
  </si>
  <si>
    <t>KWACHA</t>
  </si>
  <si>
    <t>NKANA</t>
  </si>
  <si>
    <t>WUSAKILE</t>
  </si>
  <si>
    <t>LUANSHYA</t>
  </si>
  <si>
    <t>ROAN</t>
  </si>
  <si>
    <t>LUFWANYAMA</t>
  </si>
  <si>
    <t>MASAITI</t>
  </si>
  <si>
    <t>KAFULAFUTA</t>
  </si>
  <si>
    <t>MPONGWE</t>
  </si>
  <si>
    <t>MUFULIRA</t>
  </si>
  <si>
    <t>KANKOYO</t>
  </si>
  <si>
    <t>KANTANSHI</t>
  </si>
  <si>
    <t>NDOLA</t>
  </si>
  <si>
    <t>BWANA MKUBWA</t>
  </si>
  <si>
    <t>CHIFUBU</t>
  </si>
  <si>
    <t>KABUSHI</t>
  </si>
  <si>
    <t>EASTERN</t>
  </si>
  <si>
    <t>CHADIZA</t>
  </si>
  <si>
    <t>VUBWI</t>
  </si>
  <si>
    <t>CHIPATA</t>
  </si>
  <si>
    <t>CHIPANGALI</t>
  </si>
  <si>
    <t>KASENENGWA</t>
  </si>
  <si>
    <t>LUANGENI</t>
  </si>
  <si>
    <t>KATETE</t>
  </si>
  <si>
    <t>MILANZI</t>
  </si>
  <si>
    <t>MKAIKA</t>
  </si>
  <si>
    <t>SINDA</t>
  </si>
  <si>
    <t>LUNDAZI</t>
  </si>
  <si>
    <t>CHASEFU</t>
  </si>
  <si>
    <t>LUMEZI</t>
  </si>
  <si>
    <t>MAMBWE</t>
  </si>
  <si>
    <t>MALAMBO</t>
  </si>
  <si>
    <t>NYIMBA</t>
  </si>
  <si>
    <t>PETAUKE</t>
  </si>
  <si>
    <t>KAPOCHE</t>
  </si>
  <si>
    <t>MSANZALA</t>
  </si>
  <si>
    <t>LUAPULA</t>
  </si>
  <si>
    <t>CHIENGI</t>
  </si>
  <si>
    <t>KAWAMBWA</t>
  </si>
  <si>
    <t>MWANSABOMBWE</t>
  </si>
  <si>
    <t>PAMBASHE</t>
  </si>
  <si>
    <t>MANSA</t>
  </si>
  <si>
    <t>BAHATI</t>
  </si>
  <si>
    <t>MILENGE</t>
  </si>
  <si>
    <t>CHEMBE</t>
  </si>
  <si>
    <t>MWENSE</t>
  </si>
  <si>
    <t>CHIPILI</t>
  </si>
  <si>
    <t>MAMBILIMA</t>
  </si>
  <si>
    <t>NCHELENGE</t>
  </si>
  <si>
    <t>SAMFYA</t>
  </si>
  <si>
    <t>BANGEULU</t>
  </si>
  <si>
    <t>CHIFUNABULI</t>
  </si>
  <si>
    <t>LUSAKA</t>
  </si>
  <si>
    <t>CHONGWE</t>
  </si>
  <si>
    <t>RUFUNSA</t>
  </si>
  <si>
    <t>KAFUE</t>
  </si>
  <si>
    <t>CHILANGA</t>
  </si>
  <si>
    <t>LUANGWA</t>
  </si>
  <si>
    <t>FEIRA</t>
  </si>
  <si>
    <t>CHAWAMA</t>
  </si>
  <si>
    <t>KABWATA</t>
  </si>
  <si>
    <t>KANYAMA</t>
  </si>
  <si>
    <t>LUSAKA CENTRAL</t>
  </si>
  <si>
    <t>MANDEVU</t>
  </si>
  <si>
    <t>MATERO</t>
  </si>
  <si>
    <t>MUNALI</t>
  </si>
  <si>
    <t>CHAMA</t>
  </si>
  <si>
    <t>CHAMA NORTH</t>
  </si>
  <si>
    <t>CHAMA SOUTH</t>
  </si>
  <si>
    <t>CHINSALI</t>
  </si>
  <si>
    <t>SHIWANGANDU</t>
  </si>
  <si>
    <t>ISOKA</t>
  </si>
  <si>
    <t>MAFINGA</t>
  </si>
  <si>
    <t>MPIKA</t>
  </si>
  <si>
    <t>KANCHIBIYA</t>
  </si>
  <si>
    <t>MFUWE</t>
  </si>
  <si>
    <t>NAKONDE</t>
  </si>
  <si>
    <t>NORTHERN</t>
  </si>
  <si>
    <t>CHILUBI</t>
  </si>
  <si>
    <t>KAPUTA</t>
  </si>
  <si>
    <t>CHIMBAMILONGA</t>
  </si>
  <si>
    <t>KASAMA</t>
  </si>
  <si>
    <t>LUKASHYA</t>
  </si>
  <si>
    <t>LUWINGU</t>
  </si>
  <si>
    <t>LUBASENSHI</t>
  </si>
  <si>
    <t>LUPOSOSHI</t>
  </si>
  <si>
    <t>MBALA</t>
  </si>
  <si>
    <t>NSENGA HILL</t>
  </si>
  <si>
    <t>MPOROKOSO</t>
  </si>
  <si>
    <t>LUNTE</t>
  </si>
  <si>
    <t>MPULUNGU</t>
  </si>
  <si>
    <t>MUNGWI</t>
  </si>
  <si>
    <t>MALOLE</t>
  </si>
  <si>
    <t>NORTH-WESTERN</t>
  </si>
  <si>
    <t>CHAVUMA</t>
  </si>
  <si>
    <t>IKELENGE</t>
  </si>
  <si>
    <t>KABOMPO</t>
  </si>
  <si>
    <t>KABOMPO EAST</t>
  </si>
  <si>
    <t>KABOMPO WEST</t>
  </si>
  <si>
    <t>KASEMPA</t>
  </si>
  <si>
    <t>MUFUMBWE</t>
  </si>
  <si>
    <t>MWINILUNGA</t>
  </si>
  <si>
    <t>SOLWEZI</t>
  </si>
  <si>
    <t>SOLWEZI CENTRAL</t>
  </si>
  <si>
    <t>SOLWEZI EAST</t>
  </si>
  <si>
    <t>SOLWEZI WEST</t>
  </si>
  <si>
    <t>ZAMBEZI</t>
  </si>
  <si>
    <t>ZAMBEZI EAST</t>
  </si>
  <si>
    <t>ZAMBEZI WEST</t>
  </si>
  <si>
    <t>SOUTHERN</t>
  </si>
  <si>
    <t>CHOMA</t>
  </si>
  <si>
    <t>MBABALA</t>
  </si>
  <si>
    <t>PEMBA</t>
  </si>
  <si>
    <t>GWEMBE</t>
  </si>
  <si>
    <t>ITEZHI-TEZHI</t>
  </si>
  <si>
    <t>KALOMO</t>
  </si>
  <si>
    <t>DUNDUMWEZI</t>
  </si>
  <si>
    <t>KALOMO CENTRAL</t>
  </si>
  <si>
    <t>MAPATIZYA</t>
  </si>
  <si>
    <t>KAZUNGULA</t>
  </si>
  <si>
    <t>KATOMBOLA</t>
  </si>
  <si>
    <t>LIVINGSTONE</t>
  </si>
  <si>
    <t>MAZABUKA</t>
  </si>
  <si>
    <t>CHIKANKANTA</t>
  </si>
  <si>
    <t>MAGOYE</t>
  </si>
  <si>
    <t>MONZE</t>
  </si>
  <si>
    <t>BWEENGWA</t>
  </si>
  <si>
    <t>MOOMBA</t>
  </si>
  <si>
    <t>NAMWALA</t>
  </si>
  <si>
    <t>SIAVONGA</t>
  </si>
  <si>
    <t>SINAZONGWE</t>
  </si>
  <si>
    <t>WESTERN</t>
  </si>
  <si>
    <t>KALABO</t>
  </si>
  <si>
    <t>LIUWA</t>
  </si>
  <si>
    <t>SIKONGO</t>
  </si>
  <si>
    <t>KAOMA</t>
  </si>
  <si>
    <t>KAOMA CENTRAL</t>
  </si>
  <si>
    <t>LUAMPA</t>
  </si>
  <si>
    <t>MANGANGO</t>
  </si>
  <si>
    <t>LUKULU</t>
  </si>
  <si>
    <t>LUKULU EAST</t>
  </si>
  <si>
    <t>LUKULU WEST</t>
  </si>
  <si>
    <t>MONGU</t>
  </si>
  <si>
    <t>LUENA</t>
  </si>
  <si>
    <t>NALIKWANDA</t>
  </si>
  <si>
    <t>SENANGA</t>
  </si>
  <si>
    <t>NALOLO</t>
  </si>
  <si>
    <t>SESHEKE</t>
  </si>
  <si>
    <t>MULOBEZI</t>
  </si>
  <si>
    <t>MWANDI</t>
  </si>
  <si>
    <t>SHANG'OMBO</t>
  </si>
  <si>
    <t>SINJEMBELA</t>
  </si>
  <si>
    <t>OBJECTID *</t>
  </si>
  <si>
    <t>Shape *</t>
  </si>
  <si>
    <t>admin2Name_en</t>
  </si>
  <si>
    <t>admin2Pcode</t>
  </si>
  <si>
    <t>admin2RefName</t>
  </si>
  <si>
    <t>admin2AltName1_en</t>
  </si>
  <si>
    <t>admin2AltName2_en</t>
  </si>
  <si>
    <t>admin1Name_en</t>
  </si>
  <si>
    <t>admin1Pcode</t>
  </si>
  <si>
    <t>admin0Name_en</t>
  </si>
  <si>
    <t>admin0Pcode</t>
  </si>
  <si>
    <t>Polygon</t>
  </si>
  <si>
    <t>Chibombo</t>
  </si>
  <si>
    <t>ZM1001</t>
  </si>
  <si>
    <t>&lt;Null&gt;</t>
  </si>
  <si>
    <t>Central</t>
  </si>
  <si>
    <t>ZM10</t>
  </si>
  <si>
    <t>ZM</t>
  </si>
  <si>
    <t>Chisamba</t>
  </si>
  <si>
    <t>ZM1007</t>
  </si>
  <si>
    <t>Chitambo</t>
  </si>
  <si>
    <t>ZM1008</t>
  </si>
  <si>
    <t>Itezhi-tezhi</t>
  </si>
  <si>
    <t>ZM1009</t>
  </si>
  <si>
    <t>Kabwe</t>
  </si>
  <si>
    <t>ZM1002</t>
  </si>
  <si>
    <t>Luano</t>
  </si>
  <si>
    <t>ZM1010</t>
  </si>
  <si>
    <t>Mkushi</t>
  </si>
  <si>
    <t>ZM1004</t>
  </si>
  <si>
    <t>Mumbwa</t>
  </si>
  <si>
    <t>ZM1005</t>
  </si>
  <si>
    <t>Ngabwe</t>
  </si>
  <si>
    <t>ZM1011</t>
  </si>
  <si>
    <t>Serenje</t>
  </si>
  <si>
    <t>ZM1006</t>
  </si>
  <si>
    <t>Chililabombwe</t>
  </si>
  <si>
    <t>ZM2001</t>
  </si>
  <si>
    <t>Copperbelt</t>
  </si>
  <si>
    <t>ZM20</t>
  </si>
  <si>
    <t>Chingola</t>
  </si>
  <si>
    <t>ZM2002</t>
  </si>
  <si>
    <t>Kalulushi</t>
  </si>
  <si>
    <t>ZM2003</t>
  </si>
  <si>
    <t>Kitwe</t>
  </si>
  <si>
    <t>ZM2004</t>
  </si>
  <si>
    <t>Luanshya</t>
  </si>
  <si>
    <t>ZM2005</t>
  </si>
  <si>
    <t>Lufwanyama</t>
  </si>
  <si>
    <t>ZM2006</t>
  </si>
  <si>
    <t>Masaiti</t>
  </si>
  <si>
    <t>ZM2007</t>
  </si>
  <si>
    <t>Mpongwe</t>
  </si>
  <si>
    <t>ZM2008</t>
  </si>
  <si>
    <t>Mufulira</t>
  </si>
  <si>
    <t>ZM2009</t>
  </si>
  <si>
    <t>Ndola</t>
  </si>
  <si>
    <t>ZM2010</t>
  </si>
  <si>
    <t>Chadiza</t>
  </si>
  <si>
    <t>ZM3001</t>
  </si>
  <si>
    <t>Eastern</t>
  </si>
  <si>
    <t>ZM30</t>
  </si>
  <si>
    <t>Chasefu</t>
  </si>
  <si>
    <t>ZM3002</t>
  </si>
  <si>
    <t>Chipangali</t>
  </si>
  <si>
    <t>ZM3009</t>
  </si>
  <si>
    <t>Chipata</t>
  </si>
  <si>
    <t>ZM3003</t>
  </si>
  <si>
    <t>Kasenengwa</t>
  </si>
  <si>
    <t>ZM3010</t>
  </si>
  <si>
    <t>Katete</t>
  </si>
  <si>
    <t>ZM3004</t>
  </si>
  <si>
    <t>Lumezi</t>
  </si>
  <si>
    <t>ZM3011</t>
  </si>
  <si>
    <t>Lundazi</t>
  </si>
  <si>
    <t>ZM3005</t>
  </si>
  <si>
    <t>Mambwe</t>
  </si>
  <si>
    <t>ZM3006</t>
  </si>
  <si>
    <t>Nyimba</t>
  </si>
  <si>
    <t>ZM3007</t>
  </si>
  <si>
    <t>Petauke</t>
  </si>
  <si>
    <t>ZM3008</t>
  </si>
  <si>
    <t>Sinda</t>
  </si>
  <si>
    <t>ZM3012</t>
  </si>
  <si>
    <t>Vubwi</t>
  </si>
  <si>
    <t>ZM3013</t>
  </si>
  <si>
    <t>Chembe</t>
  </si>
  <si>
    <t>ZM4008</t>
  </si>
  <si>
    <t>Luapula</t>
  </si>
  <si>
    <t>ZM40</t>
  </si>
  <si>
    <t>Chiengi</t>
  </si>
  <si>
    <t>ZM4001</t>
  </si>
  <si>
    <t>Chifunabuli</t>
  </si>
  <si>
    <t>ZM4009</t>
  </si>
  <si>
    <t>Chipili</t>
  </si>
  <si>
    <t>ZM4010</t>
  </si>
  <si>
    <t>Kawambwa</t>
  </si>
  <si>
    <t>ZM4002</t>
  </si>
  <si>
    <t>Lunga</t>
  </si>
  <si>
    <t>ZM4011</t>
  </si>
  <si>
    <t>Mansa</t>
  </si>
  <si>
    <t>ZM4003</t>
  </si>
  <si>
    <t>Milengi</t>
  </si>
  <si>
    <t>ZM4004</t>
  </si>
  <si>
    <t>Mwansabombwe</t>
  </si>
  <si>
    <t>ZM4012</t>
  </si>
  <si>
    <t>Mwense</t>
  </si>
  <si>
    <t>ZM4005</t>
  </si>
  <si>
    <t>Samfya</t>
  </si>
  <si>
    <t>ZM4007</t>
  </si>
  <si>
    <t>Chilanga</t>
  </si>
  <si>
    <t>ZM5005</t>
  </si>
  <si>
    <t>Lusaka</t>
  </si>
  <si>
    <t>ZM50</t>
  </si>
  <si>
    <t>Chirundu</t>
  </si>
  <si>
    <t>ZM5006</t>
  </si>
  <si>
    <t>Chongwe</t>
  </si>
  <si>
    <t>ZM5001</t>
  </si>
  <si>
    <t>Kafue</t>
  </si>
  <si>
    <t>ZM5002</t>
  </si>
  <si>
    <t>Luangwa</t>
  </si>
  <si>
    <t>ZM5003</t>
  </si>
  <si>
    <t>ZM5004</t>
  </si>
  <si>
    <t>Rufunsa</t>
  </si>
  <si>
    <t>ZM5007</t>
  </si>
  <si>
    <t>Shibuyunji</t>
  </si>
  <si>
    <t>ZM5008</t>
  </si>
  <si>
    <t>Chama</t>
  </si>
  <si>
    <t>ZM1112</t>
  </si>
  <si>
    <t>Muchinga</t>
  </si>
  <si>
    <t>ZM11</t>
  </si>
  <si>
    <t>Chinsali</t>
  </si>
  <si>
    <t>ZM1114</t>
  </si>
  <si>
    <t>Isoka</t>
  </si>
  <si>
    <t>ZM1113</t>
  </si>
  <si>
    <t>Kanchibiya</t>
  </si>
  <si>
    <t>ZM1116</t>
  </si>
  <si>
    <t>Lavushimanda</t>
  </si>
  <si>
    <t>ZM1117</t>
  </si>
  <si>
    <t>Mafinga</t>
  </si>
  <si>
    <t>ZM1115</t>
  </si>
  <si>
    <t>Mpika</t>
  </si>
  <si>
    <t>ZM1118</t>
  </si>
  <si>
    <t>Nakonde</t>
  </si>
  <si>
    <t>ZM1111</t>
  </si>
  <si>
    <t>Chavuma</t>
  </si>
  <si>
    <t>ZM7001</t>
  </si>
  <si>
    <t>North-Western</t>
  </si>
  <si>
    <t>ZM70</t>
  </si>
  <si>
    <t>Ikelenge</t>
  </si>
  <si>
    <t>ZM7008</t>
  </si>
  <si>
    <t>Kabompo</t>
  </si>
  <si>
    <t>ZM7002</t>
  </si>
  <si>
    <t>Kalumbila</t>
  </si>
  <si>
    <t>ZM7009</t>
  </si>
  <si>
    <t>Kasempa</t>
  </si>
  <si>
    <t>ZM7003</t>
  </si>
  <si>
    <t>Manyinga</t>
  </si>
  <si>
    <t>ZM7010</t>
  </si>
  <si>
    <t>Mufumbwe</t>
  </si>
  <si>
    <t>ZM7004</t>
  </si>
  <si>
    <t>Mushindano</t>
  </si>
  <si>
    <t>ZM7011</t>
  </si>
  <si>
    <t>Mwinilunga</t>
  </si>
  <si>
    <t>ZM7005</t>
  </si>
  <si>
    <t>Solwezi</t>
  </si>
  <si>
    <t>ZM7006</t>
  </si>
  <si>
    <t>Zambezi</t>
  </si>
  <si>
    <t>ZM7007</t>
  </si>
  <si>
    <t>Chilubi</t>
  </si>
  <si>
    <t>ZM6001</t>
  </si>
  <si>
    <t>Northern</t>
  </si>
  <si>
    <t>ZM60</t>
  </si>
  <si>
    <t>Kaputa</t>
  </si>
  <si>
    <t>ZM6004</t>
  </si>
  <si>
    <t>Kasama</t>
  </si>
  <si>
    <t>ZM6005</t>
  </si>
  <si>
    <t>Lunte District</t>
  </si>
  <si>
    <t>ZM6002</t>
  </si>
  <si>
    <t>Lupososhi</t>
  </si>
  <si>
    <t>ZM6003</t>
  </si>
  <si>
    <t>Luwingu</t>
  </si>
  <si>
    <t>ZM6006</t>
  </si>
  <si>
    <t>Mbala</t>
  </si>
  <si>
    <t>ZM6007</t>
  </si>
  <si>
    <t>Mpulungu</t>
  </si>
  <si>
    <t>ZM6010</t>
  </si>
  <si>
    <t>Mungwi</t>
  </si>
  <si>
    <t>ZM6011</t>
  </si>
  <si>
    <t>Nsama</t>
  </si>
  <si>
    <t>ZM6008</t>
  </si>
  <si>
    <t>Senga Hill</t>
  </si>
  <si>
    <t>ZM6012</t>
  </si>
  <si>
    <t>Chikankanta</t>
  </si>
  <si>
    <t>ZM8003</t>
  </si>
  <si>
    <t>Southern</t>
  </si>
  <si>
    <t>ZM80</t>
  </si>
  <si>
    <t>Choma</t>
  </si>
  <si>
    <t>ZM8001</t>
  </si>
  <si>
    <t>Gwembe</t>
  </si>
  <si>
    <t>ZM8002</t>
  </si>
  <si>
    <t>Kalomo</t>
  </si>
  <si>
    <t>ZM8004</t>
  </si>
  <si>
    <t>Kazungula</t>
  </si>
  <si>
    <t>ZM8005</t>
  </si>
  <si>
    <t>Livingstone</t>
  </si>
  <si>
    <t>ZM8006</t>
  </si>
  <si>
    <t>Mazabuka</t>
  </si>
  <si>
    <t>ZM8007</t>
  </si>
  <si>
    <t>Monze</t>
  </si>
  <si>
    <t>ZM8008</t>
  </si>
  <si>
    <t>Namwala</t>
  </si>
  <si>
    <t>ZM8009</t>
  </si>
  <si>
    <t>Pemba</t>
  </si>
  <si>
    <t>ZM8012</t>
  </si>
  <si>
    <t>Siavonga</t>
  </si>
  <si>
    <t>ZM8010</t>
  </si>
  <si>
    <t>Sinazongwe</t>
  </si>
  <si>
    <t>ZM8011</t>
  </si>
  <si>
    <t>Zimba</t>
  </si>
  <si>
    <t>ZM8013</t>
  </si>
  <si>
    <t>Kalabo</t>
  </si>
  <si>
    <t>ZM9001</t>
  </si>
  <si>
    <t>Western</t>
  </si>
  <si>
    <t>ZM90</t>
  </si>
  <si>
    <t>Kaoma</t>
  </si>
  <si>
    <t>ZM9002</t>
  </si>
  <si>
    <t>Limulunga</t>
  </si>
  <si>
    <t>ZM9006</t>
  </si>
  <si>
    <t>Luampa</t>
  </si>
  <si>
    <t>ZM9008</t>
  </si>
  <si>
    <t>Lukulu</t>
  </si>
  <si>
    <t>ZM9003</t>
  </si>
  <si>
    <t>Mitete</t>
  </si>
  <si>
    <t>ZM9009</t>
  </si>
  <si>
    <t>Mongu</t>
  </si>
  <si>
    <t>ZM9004</t>
  </si>
  <si>
    <t>Mulobezi</t>
  </si>
  <si>
    <t>ZM9010</t>
  </si>
  <si>
    <t>Mwandi</t>
  </si>
  <si>
    <t>ZM9011</t>
  </si>
  <si>
    <t>Nalolo</t>
  </si>
  <si>
    <t>ZM9013</t>
  </si>
  <si>
    <t>Nkeyema</t>
  </si>
  <si>
    <t>ZM9014</t>
  </si>
  <si>
    <t>Senanga</t>
  </si>
  <si>
    <t>ZM9005</t>
  </si>
  <si>
    <t>Sesheke</t>
  </si>
  <si>
    <t>ZM9012</t>
  </si>
  <si>
    <t>Shang'ombo</t>
  </si>
  <si>
    <t>ZM9007</t>
  </si>
  <si>
    <t>Shangombo</t>
  </si>
  <si>
    <t>Sikongo</t>
  </si>
  <si>
    <t>ZM9015</t>
  </si>
  <si>
    <t>Sioma</t>
  </si>
  <si>
    <t>ZM9016</t>
  </si>
  <si>
    <t>Kapiri Mposhi</t>
  </si>
  <si>
    <t>ZM1003</t>
  </si>
  <si>
    <t>Nchelenge</t>
  </si>
  <si>
    <t>ZM4006</t>
  </si>
  <si>
    <t>Shiwamg'andu</t>
  </si>
  <si>
    <t>ZM1119</t>
  </si>
  <si>
    <t>Shiwamgandu</t>
  </si>
  <si>
    <t>Mporokoso</t>
  </si>
  <si>
    <t>ZM6009</t>
  </si>
  <si>
    <t>COD-PS match</t>
  </si>
  <si>
    <t>admin1RefName</t>
  </si>
  <si>
    <t>admin1AltName1_en</t>
  </si>
  <si>
    <t>admin1AltName2_en</t>
  </si>
  <si>
    <t>PS-match</t>
  </si>
  <si>
    <t>ADM0_CODE</t>
  </si>
  <si>
    <t>ADM1_CODE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</si>
</sst>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family val="2"/>
    </font>
    <font>
      <b/>
      <u/>
      <sz val="11"/>
      <color theme="1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6" fillId="3" borderId="1" xfId="1" applyFont="1" applyFill="1" applyBorder="1"/>
    <xf numFmtId="0" fontId="6" fillId="3" borderId="0" xfId="1" applyFont="1" applyFill="1"/>
    <xf numFmtId="0" fontId="1" fillId="0" borderId="0" xfId="1"/>
    <xf numFmtId="0" fontId="1" fillId="0" borderId="1" xfId="1" applyBorder="1"/>
    <xf numFmtId="3" fontId="2" fillId="2" borderId="0" xfId="0" applyNumberFormat="1" applyFont="1" applyFill="1" applyAlignment="1">
      <alignment horizontal="center"/>
    </xf>
    <xf numFmtId="3" fontId="3" fillId="0" borderId="0" xfId="0" quotePrefix="1" applyNumberFormat="1" applyFont="1"/>
    <xf numFmtId="3" fontId="0" fillId="0" borderId="0" xfId="0" applyNumberFormat="1" applyFont="1" applyAlignment="1"/>
    <xf numFmtId="0" fontId="5" fillId="0" borderId="0" xfId="0" applyFont="1"/>
    <xf numFmtId="0" fontId="7" fillId="2" borderId="0" xfId="0" applyFont="1" applyFill="1" applyAlignment="1">
      <alignment horizontal="center"/>
    </xf>
  </cellXfs>
  <cellStyles count="2">
    <cellStyle name="Normal" xfId="0" builtinId="0"/>
    <cellStyle name="Normal 2" xfId="1" xr:uid="{94D90D8B-6E52-4D44-B78C-F1D54A074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sus.gov/data/tables/time-series/demo/international-programs/subnationalpopulation.html" TargetMode="External"/><Relationship Id="rId1" Type="http://schemas.openxmlformats.org/officeDocument/2006/relationships/hyperlink" Target="https://www.census.gov/data/tables/time-series/demo/international-programs/subnationalpopul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BBA-890C-4126-8948-F7462E9BBA24}">
  <dimension ref="A1:AK11"/>
  <sheetViews>
    <sheetView workbookViewId="0">
      <pane ySplit="1" topLeftCell="A2" activePane="bottomLeft" state="frozen"/>
      <selection pane="bottomLeft" activeCell="K1" sqref="K1:O1048576"/>
    </sheetView>
  </sheetViews>
  <sheetFormatPr defaultColWidth="9.109375" defaultRowHeight="13.8" x14ac:dyDescent="0.25"/>
  <cols>
    <col min="1" max="1" width="10.6640625" style="7" bestFit="1" customWidth="1"/>
    <col min="2" max="2" width="8.109375" style="7" bestFit="1" customWidth="1"/>
    <col min="3" max="3" width="16.33203125" style="7" bestFit="1" customWidth="1"/>
    <col min="4" max="4" width="13.109375" style="7" bestFit="1" customWidth="1"/>
    <col min="5" max="5" width="13.109375" style="7" customWidth="1"/>
    <col min="6" max="6" width="16" style="7" bestFit="1" customWidth="1"/>
    <col min="7" max="8" width="20" style="7" bestFit="1" customWidth="1"/>
    <col min="9" max="9" width="16.33203125" style="7" bestFit="1" customWidth="1"/>
    <col min="10" max="10" width="13.109375" style="7" bestFit="1" customWidth="1"/>
    <col min="11" max="37" width="11.5546875" style="7" bestFit="1" customWidth="1"/>
    <col min="38" max="16384" width="9.109375" style="7"/>
  </cols>
  <sheetData>
    <row r="1" spans="1:37" x14ac:dyDescent="0.25">
      <c r="A1" s="5" t="s">
        <v>274</v>
      </c>
      <c r="B1" s="5" t="s">
        <v>275</v>
      </c>
      <c r="C1" s="5" t="s">
        <v>281</v>
      </c>
      <c r="D1" s="5" t="s">
        <v>282</v>
      </c>
      <c r="E1" s="5" t="s">
        <v>543</v>
      </c>
      <c r="F1" s="5" t="s">
        <v>540</v>
      </c>
      <c r="G1" s="5" t="s">
        <v>541</v>
      </c>
      <c r="H1" s="5" t="s">
        <v>542</v>
      </c>
      <c r="I1" s="5" t="s">
        <v>283</v>
      </c>
      <c r="J1" s="5" t="s">
        <v>284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25">
      <c r="A2" s="8">
        <v>1</v>
      </c>
      <c r="B2" s="8" t="s">
        <v>285</v>
      </c>
      <c r="C2" s="8" t="s">
        <v>289</v>
      </c>
      <c r="D2" s="8" t="s">
        <v>290</v>
      </c>
      <c r="E2" s="8">
        <f>COUNTIFS(zmb_admpop_adm2_2020!D:D,'AB-ADM1'!D2)</f>
        <v>6</v>
      </c>
      <c r="F2" s="8" t="s">
        <v>288</v>
      </c>
      <c r="G2" s="8" t="s">
        <v>288</v>
      </c>
      <c r="H2" s="8" t="s">
        <v>288</v>
      </c>
      <c r="I2" s="8" t="s">
        <v>3</v>
      </c>
      <c r="J2" s="8" t="s">
        <v>291</v>
      </c>
    </row>
    <row r="3" spans="1:37" x14ac:dyDescent="0.25">
      <c r="A3" s="8">
        <v>2</v>
      </c>
      <c r="B3" s="8" t="s">
        <v>285</v>
      </c>
      <c r="C3" s="8" t="s">
        <v>312</v>
      </c>
      <c r="D3" s="8" t="s">
        <v>313</v>
      </c>
      <c r="E3" s="8">
        <f>COUNTIFS(zmb_admpop_adm2_2020!D:D,'AB-ADM1'!D3)</f>
        <v>10</v>
      </c>
      <c r="F3" s="8" t="s">
        <v>288</v>
      </c>
      <c r="G3" s="8" t="s">
        <v>288</v>
      </c>
      <c r="H3" s="8" t="s">
        <v>288</v>
      </c>
      <c r="I3" s="8" t="s">
        <v>3</v>
      </c>
      <c r="J3" s="8" t="s">
        <v>291</v>
      </c>
    </row>
    <row r="4" spans="1:37" x14ac:dyDescent="0.25">
      <c r="A4" s="8">
        <v>3</v>
      </c>
      <c r="B4" s="8" t="s">
        <v>285</v>
      </c>
      <c r="C4" s="8" t="s">
        <v>334</v>
      </c>
      <c r="D4" s="8" t="s">
        <v>335</v>
      </c>
      <c r="E4" s="8">
        <f>COUNTIFS(zmb_admpop_adm2_2020!D:D,'AB-ADM1'!D4)</f>
        <v>7</v>
      </c>
      <c r="F4" s="8" t="s">
        <v>288</v>
      </c>
      <c r="G4" s="8" t="s">
        <v>288</v>
      </c>
      <c r="H4" s="8" t="s">
        <v>288</v>
      </c>
      <c r="I4" s="8" t="s">
        <v>3</v>
      </c>
      <c r="J4" s="8" t="s">
        <v>291</v>
      </c>
    </row>
    <row r="5" spans="1:37" x14ac:dyDescent="0.25">
      <c r="A5" s="8">
        <v>4</v>
      </c>
      <c r="B5" s="8" t="s">
        <v>285</v>
      </c>
      <c r="C5" s="8" t="s">
        <v>362</v>
      </c>
      <c r="D5" s="8" t="s">
        <v>363</v>
      </c>
      <c r="E5" s="8">
        <f>COUNTIFS(zmb_admpop_adm2_2020!D:D,'AB-ADM1'!D5)</f>
        <v>7</v>
      </c>
      <c r="F5" s="8" t="s">
        <v>288</v>
      </c>
      <c r="G5" s="8" t="s">
        <v>288</v>
      </c>
      <c r="H5" s="8" t="s">
        <v>288</v>
      </c>
      <c r="I5" s="8" t="s">
        <v>3</v>
      </c>
      <c r="J5" s="8" t="s">
        <v>291</v>
      </c>
    </row>
    <row r="6" spans="1:37" x14ac:dyDescent="0.25">
      <c r="A6" s="8">
        <v>5</v>
      </c>
      <c r="B6" s="8" t="s">
        <v>285</v>
      </c>
      <c r="C6" s="8" t="s">
        <v>386</v>
      </c>
      <c r="D6" s="8" t="s">
        <v>387</v>
      </c>
      <c r="E6" s="8">
        <f>COUNTIFS(zmb_admpop_adm2_2020!D:D,'AB-ADM1'!D6)</f>
        <v>4</v>
      </c>
      <c r="F6" s="8" t="s">
        <v>288</v>
      </c>
      <c r="G6" s="8" t="s">
        <v>288</v>
      </c>
      <c r="H6" s="8" t="s">
        <v>288</v>
      </c>
      <c r="I6" s="8" t="s">
        <v>3</v>
      </c>
      <c r="J6" s="8" t="s">
        <v>291</v>
      </c>
    </row>
    <row r="7" spans="1:37" x14ac:dyDescent="0.25">
      <c r="A7" s="8">
        <v>6</v>
      </c>
      <c r="B7" s="8" t="s">
        <v>285</v>
      </c>
      <c r="C7" s="8" t="s">
        <v>403</v>
      </c>
      <c r="D7" s="8" t="s">
        <v>404</v>
      </c>
      <c r="E7" s="8">
        <f>COUNTIFS(zmb_admpop_adm2_2020!D:D,'AB-ADM1'!D7)</f>
        <v>6</v>
      </c>
      <c r="F7" s="8" t="s">
        <v>288</v>
      </c>
      <c r="G7" s="8" t="s">
        <v>288</v>
      </c>
      <c r="H7" s="8" t="s">
        <v>288</v>
      </c>
      <c r="I7" s="8" t="s">
        <v>3</v>
      </c>
      <c r="J7" s="8" t="s">
        <v>291</v>
      </c>
    </row>
    <row r="8" spans="1:37" x14ac:dyDescent="0.25">
      <c r="A8" s="8">
        <v>7</v>
      </c>
      <c r="B8" s="8" t="s">
        <v>285</v>
      </c>
      <c r="C8" s="8" t="s">
        <v>421</v>
      </c>
      <c r="D8" s="8" t="s">
        <v>422</v>
      </c>
      <c r="E8" s="8">
        <f>COUNTIFS(zmb_admpop_adm2_2020!D:D,'AB-ADM1'!D8)</f>
        <v>8</v>
      </c>
      <c r="F8" s="8" t="s">
        <v>288</v>
      </c>
      <c r="G8" s="8" t="s">
        <v>288</v>
      </c>
      <c r="H8" s="8" t="s">
        <v>288</v>
      </c>
      <c r="I8" s="8" t="s">
        <v>3</v>
      </c>
      <c r="J8" s="8" t="s">
        <v>291</v>
      </c>
    </row>
    <row r="9" spans="1:37" x14ac:dyDescent="0.25">
      <c r="A9" s="8">
        <v>8</v>
      </c>
      <c r="B9" s="8" t="s">
        <v>285</v>
      </c>
      <c r="C9" s="8" t="s">
        <v>445</v>
      </c>
      <c r="D9" s="8" t="s">
        <v>446</v>
      </c>
      <c r="E9" s="8">
        <f>COUNTIFS(zmb_admpop_adm2_2020!D:D,'AB-ADM1'!D9)</f>
        <v>8</v>
      </c>
      <c r="F9" s="8" t="s">
        <v>288</v>
      </c>
      <c r="G9" s="8" t="s">
        <v>288</v>
      </c>
      <c r="H9" s="8" t="s">
        <v>288</v>
      </c>
      <c r="I9" s="8" t="s">
        <v>3</v>
      </c>
      <c r="J9" s="8" t="s">
        <v>291</v>
      </c>
    </row>
    <row r="10" spans="1:37" x14ac:dyDescent="0.25">
      <c r="A10" s="8">
        <v>9</v>
      </c>
      <c r="B10" s="8" t="s">
        <v>285</v>
      </c>
      <c r="C10" s="8" t="s">
        <v>469</v>
      </c>
      <c r="D10" s="8" t="s">
        <v>470</v>
      </c>
      <c r="E10" s="8">
        <f>COUNTIFS(zmb_admpop_adm2_2020!D:D,'AB-ADM1'!D10)</f>
        <v>11</v>
      </c>
      <c r="F10" s="8" t="s">
        <v>288</v>
      </c>
      <c r="G10" s="8" t="s">
        <v>288</v>
      </c>
      <c r="H10" s="8" t="s">
        <v>288</v>
      </c>
      <c r="I10" s="8" t="s">
        <v>3</v>
      </c>
      <c r="J10" s="8" t="s">
        <v>291</v>
      </c>
    </row>
    <row r="11" spans="1:37" x14ac:dyDescent="0.25">
      <c r="A11" s="8">
        <v>10</v>
      </c>
      <c r="B11" s="8" t="s">
        <v>285</v>
      </c>
      <c r="C11" s="8" t="s">
        <v>497</v>
      </c>
      <c r="D11" s="8" t="s">
        <v>498</v>
      </c>
      <c r="E11" s="8">
        <f>COUNTIFS(zmb_admpop_adm2_2020!D:D,'AB-ADM1'!D11)</f>
        <v>7</v>
      </c>
      <c r="F11" s="8" t="s">
        <v>288</v>
      </c>
      <c r="G11" s="8" t="s">
        <v>288</v>
      </c>
      <c r="H11" s="8" t="s">
        <v>288</v>
      </c>
      <c r="I11" s="8" t="s">
        <v>3</v>
      </c>
      <c r="J11" s="8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B434-30AE-4EE9-9259-D21FC32CF767}">
  <dimension ref="A1:L520"/>
  <sheetViews>
    <sheetView topLeftCell="G1" workbookViewId="0">
      <pane ySplit="1" topLeftCell="A2" activePane="bottomLeft" state="frozen"/>
      <selection pane="bottomLeft" activeCell="M21" sqref="M21"/>
    </sheetView>
  </sheetViews>
  <sheetFormatPr defaultColWidth="9.109375" defaultRowHeight="13.8" x14ac:dyDescent="0.25"/>
  <cols>
    <col min="1" max="1" width="10.6640625" style="7" bestFit="1" customWidth="1"/>
    <col min="2" max="2" width="8.109375" style="7" bestFit="1" customWidth="1"/>
    <col min="3" max="3" width="16.33203125" style="7" bestFit="1" customWidth="1"/>
    <col min="4" max="4" width="13.109375" style="7" bestFit="1" customWidth="1"/>
    <col min="5" max="5" width="13.109375" style="7" customWidth="1"/>
    <col min="6" max="6" width="16" style="7" bestFit="1" customWidth="1"/>
    <col min="7" max="8" width="20" style="7" bestFit="1" customWidth="1"/>
    <col min="9" max="9" width="16.33203125" style="7" bestFit="1" customWidth="1"/>
    <col min="10" max="10" width="13.109375" style="7" bestFit="1" customWidth="1"/>
    <col min="11" max="11" width="16.33203125" style="7" bestFit="1" customWidth="1"/>
    <col min="12" max="12" width="13.109375" style="7" bestFit="1" customWidth="1"/>
    <col min="13" max="16384" width="9.109375" style="7"/>
  </cols>
  <sheetData>
    <row r="1" spans="1:12" x14ac:dyDescent="0.25">
      <c r="A1" s="5" t="s">
        <v>274</v>
      </c>
      <c r="B1" s="5" t="s">
        <v>275</v>
      </c>
      <c r="C1" s="5" t="s">
        <v>276</v>
      </c>
      <c r="D1" s="5" t="s">
        <v>277</v>
      </c>
      <c r="E1" s="5" t="s">
        <v>539</v>
      </c>
      <c r="F1" s="5" t="s">
        <v>278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283</v>
      </c>
      <c r="L1" s="5" t="s">
        <v>284</v>
      </c>
    </row>
    <row r="2" spans="1:12" x14ac:dyDescent="0.25">
      <c r="A2" s="8">
        <v>1</v>
      </c>
      <c r="B2" s="8" t="s">
        <v>285</v>
      </c>
      <c r="C2" s="8" t="s">
        <v>286</v>
      </c>
      <c r="D2" s="8" t="s">
        <v>287</v>
      </c>
      <c r="E2" s="8" t="e">
        <f>COUNTIFS(zmb_admpop_adm2_2020!#REF!,'AB-ADM2'!D2)</f>
        <v>#REF!</v>
      </c>
      <c r="F2" s="8" t="s">
        <v>288</v>
      </c>
      <c r="G2" s="8" t="s">
        <v>288</v>
      </c>
      <c r="H2" s="8" t="s">
        <v>288</v>
      </c>
      <c r="I2" s="8" t="s">
        <v>289</v>
      </c>
      <c r="J2" s="8" t="s">
        <v>290</v>
      </c>
      <c r="K2" s="8" t="s">
        <v>3</v>
      </c>
      <c r="L2" s="8" t="s">
        <v>291</v>
      </c>
    </row>
    <row r="3" spans="1:12" x14ac:dyDescent="0.25">
      <c r="A3" s="8">
        <v>2</v>
      </c>
      <c r="B3" s="8" t="s">
        <v>285</v>
      </c>
      <c r="C3" s="8" t="s">
        <v>292</v>
      </c>
      <c r="D3" s="8" t="s">
        <v>293</v>
      </c>
      <c r="E3" s="8" t="e">
        <f>COUNTIFS(zmb_admpop_adm2_2020!#REF!,'AB-ADM2'!D3)</f>
        <v>#REF!</v>
      </c>
      <c r="F3" s="8" t="s">
        <v>288</v>
      </c>
      <c r="G3" s="8" t="s">
        <v>288</v>
      </c>
      <c r="H3" s="8" t="s">
        <v>288</v>
      </c>
      <c r="I3" s="8" t="s">
        <v>289</v>
      </c>
      <c r="J3" s="8" t="s">
        <v>290</v>
      </c>
      <c r="K3" s="8" t="s">
        <v>3</v>
      </c>
      <c r="L3" s="8" t="s">
        <v>291</v>
      </c>
    </row>
    <row r="4" spans="1:12" x14ac:dyDescent="0.25">
      <c r="A4" s="8">
        <v>3</v>
      </c>
      <c r="B4" s="8" t="s">
        <v>285</v>
      </c>
      <c r="C4" s="8" t="s">
        <v>294</v>
      </c>
      <c r="D4" s="8" t="s">
        <v>295</v>
      </c>
      <c r="E4" s="8" t="e">
        <f>COUNTIFS(zmb_admpop_adm2_2020!#REF!,'AB-ADM2'!D4)</f>
        <v>#REF!</v>
      </c>
      <c r="F4" s="8" t="s">
        <v>288</v>
      </c>
      <c r="G4" s="8" t="s">
        <v>288</v>
      </c>
      <c r="H4" s="8" t="s">
        <v>288</v>
      </c>
      <c r="I4" s="8" t="s">
        <v>289</v>
      </c>
      <c r="J4" s="8" t="s">
        <v>290</v>
      </c>
      <c r="K4" s="8" t="s">
        <v>3</v>
      </c>
      <c r="L4" s="8" t="s">
        <v>291</v>
      </c>
    </row>
    <row r="5" spans="1:12" x14ac:dyDescent="0.25">
      <c r="A5" s="8">
        <v>4</v>
      </c>
      <c r="B5" s="8" t="s">
        <v>285</v>
      </c>
      <c r="C5" s="8" t="s">
        <v>296</v>
      </c>
      <c r="D5" s="8" t="s">
        <v>297</v>
      </c>
      <c r="E5" s="8" t="e">
        <f>COUNTIFS(zmb_admpop_adm2_2020!#REF!,'AB-ADM2'!D5)</f>
        <v>#REF!</v>
      </c>
      <c r="F5" s="8" t="s">
        <v>288</v>
      </c>
      <c r="G5" s="8" t="s">
        <v>288</v>
      </c>
      <c r="H5" s="8" t="s">
        <v>288</v>
      </c>
      <c r="I5" s="8" t="s">
        <v>289</v>
      </c>
      <c r="J5" s="8" t="s">
        <v>290</v>
      </c>
      <c r="K5" s="8" t="s">
        <v>3</v>
      </c>
      <c r="L5" s="8" t="s">
        <v>291</v>
      </c>
    </row>
    <row r="6" spans="1:12" x14ac:dyDescent="0.25">
      <c r="A6" s="8">
        <v>5</v>
      </c>
      <c r="B6" s="8" t="s">
        <v>285</v>
      </c>
      <c r="C6" s="8" t="s">
        <v>298</v>
      </c>
      <c r="D6" s="8" t="s">
        <v>299</v>
      </c>
      <c r="E6" s="8" t="e">
        <f>COUNTIFS(zmb_admpop_adm2_2020!#REF!,'AB-ADM2'!D6)</f>
        <v>#REF!</v>
      </c>
      <c r="F6" s="8" t="s">
        <v>288</v>
      </c>
      <c r="G6" s="8" t="s">
        <v>288</v>
      </c>
      <c r="H6" s="8" t="s">
        <v>288</v>
      </c>
      <c r="I6" s="8" t="s">
        <v>289</v>
      </c>
      <c r="J6" s="8" t="s">
        <v>290</v>
      </c>
      <c r="K6" s="8" t="s">
        <v>3</v>
      </c>
      <c r="L6" s="8" t="s">
        <v>291</v>
      </c>
    </row>
    <row r="7" spans="1:12" x14ac:dyDescent="0.25">
      <c r="A7" s="8">
        <v>7</v>
      </c>
      <c r="B7" s="8" t="s">
        <v>285</v>
      </c>
      <c r="C7" s="8" t="s">
        <v>300</v>
      </c>
      <c r="D7" s="8" t="s">
        <v>301</v>
      </c>
      <c r="E7" s="8" t="e">
        <f>COUNTIFS(zmb_admpop_adm2_2020!#REF!,'AB-ADM2'!D7)</f>
        <v>#REF!</v>
      </c>
      <c r="F7" s="8" t="s">
        <v>288</v>
      </c>
      <c r="G7" s="8" t="s">
        <v>288</v>
      </c>
      <c r="H7" s="8" t="s">
        <v>288</v>
      </c>
      <c r="I7" s="8" t="s">
        <v>289</v>
      </c>
      <c r="J7" s="8" t="s">
        <v>290</v>
      </c>
      <c r="K7" s="8" t="s">
        <v>3</v>
      </c>
      <c r="L7" s="8" t="s">
        <v>291</v>
      </c>
    </row>
    <row r="8" spans="1:12" x14ac:dyDescent="0.25">
      <c r="A8" s="8">
        <v>8</v>
      </c>
      <c r="B8" s="8" t="s">
        <v>285</v>
      </c>
      <c r="C8" s="8" t="s">
        <v>302</v>
      </c>
      <c r="D8" s="8" t="s">
        <v>303</v>
      </c>
      <c r="E8" s="8" t="e">
        <f>COUNTIFS(zmb_admpop_adm2_2020!#REF!,'AB-ADM2'!D8)</f>
        <v>#REF!</v>
      </c>
      <c r="F8" s="8" t="s">
        <v>288</v>
      </c>
      <c r="G8" s="8" t="s">
        <v>288</v>
      </c>
      <c r="H8" s="8" t="s">
        <v>288</v>
      </c>
      <c r="I8" s="8" t="s">
        <v>289</v>
      </c>
      <c r="J8" s="8" t="s">
        <v>290</v>
      </c>
      <c r="K8" s="8" t="s">
        <v>3</v>
      </c>
      <c r="L8" s="8" t="s">
        <v>291</v>
      </c>
    </row>
    <row r="9" spans="1:12" x14ac:dyDescent="0.25">
      <c r="A9" s="8">
        <v>9</v>
      </c>
      <c r="B9" s="8" t="s">
        <v>285</v>
      </c>
      <c r="C9" s="8" t="s">
        <v>304</v>
      </c>
      <c r="D9" s="8" t="s">
        <v>305</v>
      </c>
      <c r="E9" s="8" t="e">
        <f>COUNTIFS(zmb_admpop_adm2_2020!#REF!,'AB-ADM2'!D9)</f>
        <v>#REF!</v>
      </c>
      <c r="F9" s="8" t="s">
        <v>288</v>
      </c>
      <c r="G9" s="8" t="s">
        <v>288</v>
      </c>
      <c r="H9" s="8" t="s">
        <v>288</v>
      </c>
      <c r="I9" s="8" t="s">
        <v>289</v>
      </c>
      <c r="J9" s="8" t="s">
        <v>290</v>
      </c>
      <c r="K9" s="8" t="s">
        <v>3</v>
      </c>
      <c r="L9" s="8" t="s">
        <v>291</v>
      </c>
    </row>
    <row r="10" spans="1:12" x14ac:dyDescent="0.25">
      <c r="A10" s="8">
        <v>10</v>
      </c>
      <c r="B10" s="8" t="s">
        <v>285</v>
      </c>
      <c r="C10" s="8" t="s">
        <v>306</v>
      </c>
      <c r="D10" s="8" t="s">
        <v>307</v>
      </c>
      <c r="E10" s="8" t="e">
        <f>COUNTIFS(zmb_admpop_adm2_2020!#REF!,'AB-ADM2'!D10)</f>
        <v>#REF!</v>
      </c>
      <c r="F10" s="8" t="s">
        <v>288</v>
      </c>
      <c r="G10" s="8" t="s">
        <v>288</v>
      </c>
      <c r="H10" s="8" t="s">
        <v>288</v>
      </c>
      <c r="I10" s="8" t="s">
        <v>289</v>
      </c>
      <c r="J10" s="8" t="s">
        <v>290</v>
      </c>
      <c r="K10" s="8" t="s">
        <v>3</v>
      </c>
      <c r="L10" s="8" t="s">
        <v>291</v>
      </c>
    </row>
    <row r="11" spans="1:12" x14ac:dyDescent="0.25">
      <c r="A11" s="8">
        <v>11</v>
      </c>
      <c r="B11" s="8" t="s">
        <v>285</v>
      </c>
      <c r="C11" s="8" t="s">
        <v>308</v>
      </c>
      <c r="D11" s="8" t="s">
        <v>309</v>
      </c>
      <c r="E11" s="8" t="e">
        <f>COUNTIFS(zmb_admpop_adm2_2020!#REF!,'AB-ADM2'!D11)</f>
        <v>#REF!</v>
      </c>
      <c r="F11" s="8" t="s">
        <v>288</v>
      </c>
      <c r="G11" s="8" t="s">
        <v>288</v>
      </c>
      <c r="H11" s="8" t="s">
        <v>288</v>
      </c>
      <c r="I11" s="8" t="s">
        <v>289</v>
      </c>
      <c r="J11" s="8" t="s">
        <v>290</v>
      </c>
      <c r="K11" s="8" t="s">
        <v>3</v>
      </c>
      <c r="L11" s="8" t="s">
        <v>291</v>
      </c>
    </row>
    <row r="12" spans="1:12" x14ac:dyDescent="0.25">
      <c r="A12" s="8">
        <v>12</v>
      </c>
      <c r="B12" s="8" t="s">
        <v>285</v>
      </c>
      <c r="C12" s="8" t="s">
        <v>310</v>
      </c>
      <c r="D12" s="8" t="s">
        <v>311</v>
      </c>
      <c r="E12" s="8" t="e">
        <f>COUNTIFS(zmb_admpop_adm2_2020!#REF!,'AB-ADM2'!D12)</f>
        <v>#REF!</v>
      </c>
      <c r="F12" s="8" t="s">
        <v>288</v>
      </c>
      <c r="G12" s="8" t="s">
        <v>288</v>
      </c>
      <c r="H12" s="8" t="s">
        <v>288</v>
      </c>
      <c r="I12" s="8" t="s">
        <v>312</v>
      </c>
      <c r="J12" s="8" t="s">
        <v>313</v>
      </c>
      <c r="K12" s="8" t="s">
        <v>3</v>
      </c>
      <c r="L12" s="8" t="s">
        <v>291</v>
      </c>
    </row>
    <row r="13" spans="1:12" x14ac:dyDescent="0.25">
      <c r="A13" s="8">
        <v>13</v>
      </c>
      <c r="B13" s="8" t="s">
        <v>285</v>
      </c>
      <c r="C13" s="8" t="s">
        <v>314</v>
      </c>
      <c r="D13" s="8" t="s">
        <v>315</v>
      </c>
      <c r="E13" s="8" t="e">
        <f>COUNTIFS(zmb_admpop_adm2_2020!#REF!,'AB-ADM2'!D13)</f>
        <v>#REF!</v>
      </c>
      <c r="F13" s="8" t="s">
        <v>288</v>
      </c>
      <c r="G13" s="8" t="s">
        <v>288</v>
      </c>
      <c r="H13" s="8" t="s">
        <v>288</v>
      </c>
      <c r="I13" s="8" t="s">
        <v>312</v>
      </c>
      <c r="J13" s="8" t="s">
        <v>313</v>
      </c>
      <c r="K13" s="8" t="s">
        <v>3</v>
      </c>
      <c r="L13" s="8" t="s">
        <v>291</v>
      </c>
    </row>
    <row r="14" spans="1:12" x14ac:dyDescent="0.25">
      <c r="A14" s="8">
        <v>14</v>
      </c>
      <c r="B14" s="8" t="s">
        <v>285</v>
      </c>
      <c r="C14" s="8" t="s">
        <v>316</v>
      </c>
      <c r="D14" s="8" t="s">
        <v>317</v>
      </c>
      <c r="E14" s="8" t="e">
        <f>COUNTIFS(zmb_admpop_adm2_2020!#REF!,'AB-ADM2'!D14)</f>
        <v>#REF!</v>
      </c>
      <c r="F14" s="8" t="s">
        <v>288</v>
      </c>
      <c r="G14" s="8" t="s">
        <v>288</v>
      </c>
      <c r="H14" s="8" t="s">
        <v>288</v>
      </c>
      <c r="I14" s="8" t="s">
        <v>312</v>
      </c>
      <c r="J14" s="8" t="s">
        <v>313</v>
      </c>
      <c r="K14" s="8" t="s">
        <v>3</v>
      </c>
      <c r="L14" s="8" t="s">
        <v>291</v>
      </c>
    </row>
    <row r="15" spans="1:12" x14ac:dyDescent="0.25">
      <c r="A15" s="8">
        <v>15</v>
      </c>
      <c r="B15" s="8" t="s">
        <v>285</v>
      </c>
      <c r="C15" s="8" t="s">
        <v>318</v>
      </c>
      <c r="D15" s="8" t="s">
        <v>319</v>
      </c>
      <c r="E15" s="8" t="e">
        <f>COUNTIFS(zmb_admpop_adm2_2020!#REF!,'AB-ADM2'!D15)</f>
        <v>#REF!</v>
      </c>
      <c r="F15" s="8" t="s">
        <v>288</v>
      </c>
      <c r="G15" s="8" t="s">
        <v>288</v>
      </c>
      <c r="H15" s="8" t="s">
        <v>288</v>
      </c>
      <c r="I15" s="8" t="s">
        <v>312</v>
      </c>
      <c r="J15" s="8" t="s">
        <v>313</v>
      </c>
      <c r="K15" s="8" t="s">
        <v>3</v>
      </c>
      <c r="L15" s="8" t="s">
        <v>291</v>
      </c>
    </row>
    <row r="16" spans="1:12" x14ac:dyDescent="0.25">
      <c r="A16" s="8">
        <v>16</v>
      </c>
      <c r="B16" s="8" t="s">
        <v>285</v>
      </c>
      <c r="C16" s="8" t="s">
        <v>320</v>
      </c>
      <c r="D16" s="8" t="s">
        <v>321</v>
      </c>
      <c r="E16" s="8" t="e">
        <f>COUNTIFS(zmb_admpop_adm2_2020!#REF!,'AB-ADM2'!D16)</f>
        <v>#REF!</v>
      </c>
      <c r="F16" s="8" t="s">
        <v>288</v>
      </c>
      <c r="G16" s="8" t="s">
        <v>288</v>
      </c>
      <c r="H16" s="8" t="s">
        <v>288</v>
      </c>
      <c r="I16" s="8" t="s">
        <v>312</v>
      </c>
      <c r="J16" s="8" t="s">
        <v>313</v>
      </c>
      <c r="K16" s="8" t="s">
        <v>3</v>
      </c>
      <c r="L16" s="8" t="s">
        <v>291</v>
      </c>
    </row>
    <row r="17" spans="1:12" x14ac:dyDescent="0.25">
      <c r="A17" s="8">
        <v>17</v>
      </c>
      <c r="B17" s="8" t="s">
        <v>285</v>
      </c>
      <c r="C17" s="8" t="s">
        <v>322</v>
      </c>
      <c r="D17" s="8" t="s">
        <v>323</v>
      </c>
      <c r="E17" s="8" t="e">
        <f>COUNTIFS(zmb_admpop_adm2_2020!#REF!,'AB-ADM2'!D17)</f>
        <v>#REF!</v>
      </c>
      <c r="F17" s="8" t="s">
        <v>288</v>
      </c>
      <c r="G17" s="8" t="s">
        <v>288</v>
      </c>
      <c r="H17" s="8" t="s">
        <v>288</v>
      </c>
      <c r="I17" s="8" t="s">
        <v>312</v>
      </c>
      <c r="J17" s="8" t="s">
        <v>313</v>
      </c>
      <c r="K17" s="8" t="s">
        <v>3</v>
      </c>
      <c r="L17" s="8" t="s">
        <v>291</v>
      </c>
    </row>
    <row r="18" spans="1:12" x14ac:dyDescent="0.25">
      <c r="A18" s="8">
        <v>18</v>
      </c>
      <c r="B18" s="8" t="s">
        <v>285</v>
      </c>
      <c r="C18" s="8" t="s">
        <v>324</v>
      </c>
      <c r="D18" s="8" t="s">
        <v>325</v>
      </c>
      <c r="E18" s="8" t="e">
        <f>COUNTIFS(zmb_admpop_adm2_2020!#REF!,'AB-ADM2'!D18)</f>
        <v>#REF!</v>
      </c>
      <c r="F18" s="8" t="s">
        <v>288</v>
      </c>
      <c r="G18" s="8" t="s">
        <v>288</v>
      </c>
      <c r="H18" s="8" t="s">
        <v>288</v>
      </c>
      <c r="I18" s="8" t="s">
        <v>312</v>
      </c>
      <c r="J18" s="8" t="s">
        <v>313</v>
      </c>
      <c r="K18" s="8" t="s">
        <v>3</v>
      </c>
      <c r="L18" s="8" t="s">
        <v>291</v>
      </c>
    </row>
    <row r="19" spans="1:12" x14ac:dyDescent="0.25">
      <c r="A19" s="8">
        <v>19</v>
      </c>
      <c r="B19" s="8" t="s">
        <v>285</v>
      </c>
      <c r="C19" s="8" t="s">
        <v>326</v>
      </c>
      <c r="D19" s="8" t="s">
        <v>327</v>
      </c>
      <c r="E19" s="8" t="e">
        <f>COUNTIFS(zmb_admpop_adm2_2020!#REF!,'AB-ADM2'!D19)</f>
        <v>#REF!</v>
      </c>
      <c r="F19" s="8" t="s">
        <v>288</v>
      </c>
      <c r="G19" s="8" t="s">
        <v>288</v>
      </c>
      <c r="H19" s="8" t="s">
        <v>288</v>
      </c>
      <c r="I19" s="8" t="s">
        <v>312</v>
      </c>
      <c r="J19" s="8" t="s">
        <v>313</v>
      </c>
      <c r="K19" s="8" t="s">
        <v>3</v>
      </c>
      <c r="L19" s="8" t="s">
        <v>291</v>
      </c>
    </row>
    <row r="20" spans="1:12" x14ac:dyDescent="0.25">
      <c r="A20" s="8">
        <v>20</v>
      </c>
      <c r="B20" s="8" t="s">
        <v>285</v>
      </c>
      <c r="C20" s="8" t="s">
        <v>328</v>
      </c>
      <c r="D20" s="8" t="s">
        <v>329</v>
      </c>
      <c r="E20" s="8" t="e">
        <f>COUNTIFS(zmb_admpop_adm2_2020!#REF!,'AB-ADM2'!D20)</f>
        <v>#REF!</v>
      </c>
      <c r="F20" s="8" t="s">
        <v>288</v>
      </c>
      <c r="G20" s="8" t="s">
        <v>288</v>
      </c>
      <c r="H20" s="8" t="s">
        <v>288</v>
      </c>
      <c r="I20" s="8" t="s">
        <v>312</v>
      </c>
      <c r="J20" s="8" t="s">
        <v>313</v>
      </c>
      <c r="K20" s="8" t="s">
        <v>3</v>
      </c>
      <c r="L20" s="8" t="s">
        <v>291</v>
      </c>
    </row>
    <row r="21" spans="1:12" x14ac:dyDescent="0.25">
      <c r="A21" s="8">
        <v>21</v>
      </c>
      <c r="B21" s="8" t="s">
        <v>285</v>
      </c>
      <c r="C21" s="8" t="s">
        <v>330</v>
      </c>
      <c r="D21" s="8" t="s">
        <v>331</v>
      </c>
      <c r="E21" s="8" t="e">
        <f>COUNTIFS(zmb_admpop_adm2_2020!#REF!,'AB-ADM2'!D21)</f>
        <v>#REF!</v>
      </c>
      <c r="F21" s="8" t="s">
        <v>288</v>
      </c>
      <c r="G21" s="8" t="s">
        <v>288</v>
      </c>
      <c r="H21" s="8" t="s">
        <v>288</v>
      </c>
      <c r="I21" s="8" t="s">
        <v>312</v>
      </c>
      <c r="J21" s="8" t="s">
        <v>313</v>
      </c>
      <c r="K21" s="8" t="s">
        <v>3</v>
      </c>
      <c r="L21" s="8" t="s">
        <v>291</v>
      </c>
    </row>
    <row r="22" spans="1:12" x14ac:dyDescent="0.25">
      <c r="A22" s="8">
        <v>22</v>
      </c>
      <c r="B22" s="8" t="s">
        <v>285</v>
      </c>
      <c r="C22" s="8" t="s">
        <v>332</v>
      </c>
      <c r="D22" s="8" t="s">
        <v>333</v>
      </c>
      <c r="E22" s="8" t="e">
        <f>COUNTIFS(zmb_admpop_adm2_2020!#REF!,'AB-ADM2'!D22)</f>
        <v>#REF!</v>
      </c>
      <c r="F22" s="8" t="s">
        <v>288</v>
      </c>
      <c r="G22" s="8" t="s">
        <v>288</v>
      </c>
      <c r="H22" s="8" t="s">
        <v>288</v>
      </c>
      <c r="I22" s="8" t="s">
        <v>334</v>
      </c>
      <c r="J22" s="8" t="s">
        <v>335</v>
      </c>
      <c r="K22" s="8" t="s">
        <v>3</v>
      </c>
      <c r="L22" s="8" t="s">
        <v>291</v>
      </c>
    </row>
    <row r="23" spans="1:12" x14ac:dyDescent="0.25">
      <c r="A23" s="8">
        <v>23</v>
      </c>
      <c r="B23" s="8" t="s">
        <v>285</v>
      </c>
      <c r="C23" s="8" t="s">
        <v>336</v>
      </c>
      <c r="D23" s="8" t="s">
        <v>337</v>
      </c>
      <c r="E23" s="8" t="e">
        <f>COUNTIFS(zmb_admpop_adm2_2020!#REF!,'AB-ADM2'!D23)</f>
        <v>#REF!</v>
      </c>
      <c r="F23" s="8" t="s">
        <v>288</v>
      </c>
      <c r="G23" s="8" t="s">
        <v>288</v>
      </c>
      <c r="H23" s="8" t="s">
        <v>288</v>
      </c>
      <c r="I23" s="8" t="s">
        <v>334</v>
      </c>
      <c r="J23" s="8" t="s">
        <v>335</v>
      </c>
      <c r="K23" s="8" t="s">
        <v>3</v>
      </c>
      <c r="L23" s="8" t="s">
        <v>291</v>
      </c>
    </row>
    <row r="24" spans="1:12" x14ac:dyDescent="0.25">
      <c r="A24" s="8">
        <v>24</v>
      </c>
      <c r="B24" s="8" t="s">
        <v>285</v>
      </c>
      <c r="C24" s="8" t="s">
        <v>338</v>
      </c>
      <c r="D24" s="8" t="s">
        <v>339</v>
      </c>
      <c r="E24" s="8" t="e">
        <f>COUNTIFS(zmb_admpop_adm2_2020!#REF!,'AB-ADM2'!D24)</f>
        <v>#REF!</v>
      </c>
      <c r="F24" s="8" t="s">
        <v>288</v>
      </c>
      <c r="G24" s="8" t="s">
        <v>288</v>
      </c>
      <c r="H24" s="8" t="s">
        <v>288</v>
      </c>
      <c r="I24" s="8" t="s">
        <v>334</v>
      </c>
      <c r="J24" s="8" t="s">
        <v>335</v>
      </c>
      <c r="K24" s="8" t="s">
        <v>3</v>
      </c>
      <c r="L24" s="8" t="s">
        <v>291</v>
      </c>
    </row>
    <row r="25" spans="1:12" x14ac:dyDescent="0.25">
      <c r="A25" s="8">
        <v>25</v>
      </c>
      <c r="B25" s="8" t="s">
        <v>285</v>
      </c>
      <c r="C25" s="8" t="s">
        <v>340</v>
      </c>
      <c r="D25" s="8" t="s">
        <v>341</v>
      </c>
      <c r="E25" s="8" t="e">
        <f>COUNTIFS(zmb_admpop_adm2_2020!#REF!,'AB-ADM2'!D25)</f>
        <v>#REF!</v>
      </c>
      <c r="F25" s="8" t="s">
        <v>288</v>
      </c>
      <c r="G25" s="8" t="s">
        <v>288</v>
      </c>
      <c r="H25" s="8" t="s">
        <v>288</v>
      </c>
      <c r="I25" s="8" t="s">
        <v>334</v>
      </c>
      <c r="J25" s="8" t="s">
        <v>335</v>
      </c>
      <c r="K25" s="8" t="s">
        <v>3</v>
      </c>
      <c r="L25" s="8" t="s">
        <v>291</v>
      </c>
    </row>
    <row r="26" spans="1:12" x14ac:dyDescent="0.25">
      <c r="A26" s="8">
        <v>26</v>
      </c>
      <c r="B26" s="8" t="s">
        <v>285</v>
      </c>
      <c r="C26" s="8" t="s">
        <v>342</v>
      </c>
      <c r="D26" s="8" t="s">
        <v>343</v>
      </c>
      <c r="E26" s="8" t="e">
        <f>COUNTIFS(zmb_admpop_adm2_2020!#REF!,'AB-ADM2'!D26)</f>
        <v>#REF!</v>
      </c>
      <c r="F26" s="8" t="s">
        <v>288</v>
      </c>
      <c r="G26" s="8" t="s">
        <v>288</v>
      </c>
      <c r="H26" s="8" t="s">
        <v>288</v>
      </c>
      <c r="I26" s="8" t="s">
        <v>334</v>
      </c>
      <c r="J26" s="8" t="s">
        <v>335</v>
      </c>
      <c r="K26" s="8" t="s">
        <v>3</v>
      </c>
      <c r="L26" s="8" t="s">
        <v>291</v>
      </c>
    </row>
    <row r="27" spans="1:12" x14ac:dyDescent="0.25">
      <c r="A27" s="8">
        <v>27</v>
      </c>
      <c r="B27" s="8" t="s">
        <v>285</v>
      </c>
      <c r="C27" s="8" t="s">
        <v>344</v>
      </c>
      <c r="D27" s="8" t="s">
        <v>345</v>
      </c>
      <c r="E27" s="8" t="e">
        <f>COUNTIFS(zmb_admpop_adm2_2020!#REF!,'AB-ADM2'!D27)</f>
        <v>#REF!</v>
      </c>
      <c r="F27" s="8" t="s">
        <v>288</v>
      </c>
      <c r="G27" s="8" t="s">
        <v>288</v>
      </c>
      <c r="H27" s="8" t="s">
        <v>288</v>
      </c>
      <c r="I27" s="8" t="s">
        <v>334</v>
      </c>
      <c r="J27" s="8" t="s">
        <v>335</v>
      </c>
      <c r="K27" s="8" t="s">
        <v>3</v>
      </c>
      <c r="L27" s="8" t="s">
        <v>291</v>
      </c>
    </row>
    <row r="28" spans="1:12" x14ac:dyDescent="0.25">
      <c r="A28" s="8">
        <v>28</v>
      </c>
      <c r="B28" s="8" t="s">
        <v>285</v>
      </c>
      <c r="C28" s="8" t="s">
        <v>346</v>
      </c>
      <c r="D28" s="8" t="s">
        <v>347</v>
      </c>
      <c r="E28" s="8" t="e">
        <f>COUNTIFS(zmb_admpop_adm2_2020!#REF!,'AB-ADM2'!D28)</f>
        <v>#REF!</v>
      </c>
      <c r="F28" s="8" t="s">
        <v>288</v>
      </c>
      <c r="G28" s="8" t="s">
        <v>288</v>
      </c>
      <c r="H28" s="8" t="s">
        <v>288</v>
      </c>
      <c r="I28" s="8" t="s">
        <v>334</v>
      </c>
      <c r="J28" s="8" t="s">
        <v>335</v>
      </c>
      <c r="K28" s="8" t="s">
        <v>3</v>
      </c>
      <c r="L28" s="8" t="s">
        <v>291</v>
      </c>
    </row>
    <row r="29" spans="1:12" x14ac:dyDescent="0.25">
      <c r="A29" s="8">
        <v>29</v>
      </c>
      <c r="B29" s="8" t="s">
        <v>285</v>
      </c>
      <c r="C29" s="8" t="s">
        <v>348</v>
      </c>
      <c r="D29" s="8" t="s">
        <v>349</v>
      </c>
      <c r="E29" s="8" t="e">
        <f>COUNTIFS(zmb_admpop_adm2_2020!#REF!,'AB-ADM2'!D29)</f>
        <v>#REF!</v>
      </c>
      <c r="F29" s="8" t="s">
        <v>288</v>
      </c>
      <c r="G29" s="8" t="s">
        <v>288</v>
      </c>
      <c r="H29" s="8" t="s">
        <v>288</v>
      </c>
      <c r="I29" s="8" t="s">
        <v>334</v>
      </c>
      <c r="J29" s="8" t="s">
        <v>335</v>
      </c>
      <c r="K29" s="8" t="s">
        <v>3</v>
      </c>
      <c r="L29" s="8" t="s">
        <v>291</v>
      </c>
    </row>
    <row r="30" spans="1:12" x14ac:dyDescent="0.25">
      <c r="A30" s="8">
        <v>30</v>
      </c>
      <c r="B30" s="8" t="s">
        <v>285</v>
      </c>
      <c r="C30" s="8" t="s">
        <v>350</v>
      </c>
      <c r="D30" s="8" t="s">
        <v>351</v>
      </c>
      <c r="E30" s="8" t="e">
        <f>COUNTIFS(zmb_admpop_adm2_2020!#REF!,'AB-ADM2'!D30)</f>
        <v>#REF!</v>
      </c>
      <c r="F30" s="8" t="s">
        <v>288</v>
      </c>
      <c r="G30" s="8" t="s">
        <v>288</v>
      </c>
      <c r="H30" s="8" t="s">
        <v>288</v>
      </c>
      <c r="I30" s="8" t="s">
        <v>334</v>
      </c>
      <c r="J30" s="8" t="s">
        <v>335</v>
      </c>
      <c r="K30" s="8" t="s">
        <v>3</v>
      </c>
      <c r="L30" s="8" t="s">
        <v>291</v>
      </c>
    </row>
    <row r="31" spans="1:12" x14ac:dyDescent="0.25">
      <c r="A31" s="8">
        <v>31</v>
      </c>
      <c r="B31" s="8" t="s">
        <v>285</v>
      </c>
      <c r="C31" s="8" t="s">
        <v>352</v>
      </c>
      <c r="D31" s="8" t="s">
        <v>353</v>
      </c>
      <c r="E31" s="8" t="e">
        <f>COUNTIFS(zmb_admpop_adm2_2020!#REF!,'AB-ADM2'!D31)</f>
        <v>#REF!</v>
      </c>
      <c r="F31" s="8" t="s">
        <v>288</v>
      </c>
      <c r="G31" s="8" t="s">
        <v>288</v>
      </c>
      <c r="H31" s="8" t="s">
        <v>288</v>
      </c>
      <c r="I31" s="8" t="s">
        <v>334</v>
      </c>
      <c r="J31" s="8" t="s">
        <v>335</v>
      </c>
      <c r="K31" s="8" t="s">
        <v>3</v>
      </c>
      <c r="L31" s="8" t="s">
        <v>291</v>
      </c>
    </row>
    <row r="32" spans="1:12" x14ac:dyDescent="0.25">
      <c r="A32" s="8">
        <v>32</v>
      </c>
      <c r="B32" s="8" t="s">
        <v>285</v>
      </c>
      <c r="C32" s="8" t="s">
        <v>354</v>
      </c>
      <c r="D32" s="8" t="s">
        <v>355</v>
      </c>
      <c r="E32" s="8" t="e">
        <f>COUNTIFS(zmb_admpop_adm2_2020!#REF!,'AB-ADM2'!D32)</f>
        <v>#REF!</v>
      </c>
      <c r="F32" s="8" t="s">
        <v>288</v>
      </c>
      <c r="G32" s="8" t="s">
        <v>288</v>
      </c>
      <c r="H32" s="8" t="s">
        <v>288</v>
      </c>
      <c r="I32" s="8" t="s">
        <v>334</v>
      </c>
      <c r="J32" s="8" t="s">
        <v>335</v>
      </c>
      <c r="K32" s="8" t="s">
        <v>3</v>
      </c>
      <c r="L32" s="8" t="s">
        <v>291</v>
      </c>
    </row>
    <row r="33" spans="1:12" x14ac:dyDescent="0.25">
      <c r="A33" s="8">
        <v>33</v>
      </c>
      <c r="B33" s="8" t="s">
        <v>285</v>
      </c>
      <c r="C33" s="8" t="s">
        <v>356</v>
      </c>
      <c r="D33" s="8" t="s">
        <v>357</v>
      </c>
      <c r="E33" s="8" t="e">
        <f>COUNTIFS(zmb_admpop_adm2_2020!#REF!,'AB-ADM2'!D33)</f>
        <v>#REF!</v>
      </c>
      <c r="F33" s="8" t="s">
        <v>288</v>
      </c>
      <c r="G33" s="8" t="s">
        <v>288</v>
      </c>
      <c r="H33" s="8" t="s">
        <v>288</v>
      </c>
      <c r="I33" s="8" t="s">
        <v>334</v>
      </c>
      <c r="J33" s="8" t="s">
        <v>335</v>
      </c>
      <c r="K33" s="8" t="s">
        <v>3</v>
      </c>
      <c r="L33" s="8" t="s">
        <v>291</v>
      </c>
    </row>
    <row r="34" spans="1:12" x14ac:dyDescent="0.25">
      <c r="A34" s="8">
        <v>34</v>
      </c>
      <c r="B34" s="8" t="s">
        <v>285</v>
      </c>
      <c r="C34" s="8" t="s">
        <v>358</v>
      </c>
      <c r="D34" s="8" t="s">
        <v>359</v>
      </c>
      <c r="E34" s="8" t="e">
        <f>COUNTIFS(zmb_admpop_adm2_2020!#REF!,'AB-ADM2'!D34)</f>
        <v>#REF!</v>
      </c>
      <c r="F34" s="8" t="s">
        <v>288</v>
      </c>
      <c r="G34" s="8" t="s">
        <v>288</v>
      </c>
      <c r="H34" s="8" t="s">
        <v>288</v>
      </c>
      <c r="I34" s="8" t="s">
        <v>334</v>
      </c>
      <c r="J34" s="8" t="s">
        <v>335</v>
      </c>
      <c r="K34" s="8" t="s">
        <v>3</v>
      </c>
      <c r="L34" s="8" t="s">
        <v>291</v>
      </c>
    </row>
    <row r="35" spans="1:12" x14ac:dyDescent="0.25">
      <c r="A35" s="8">
        <v>35</v>
      </c>
      <c r="B35" s="8" t="s">
        <v>285</v>
      </c>
      <c r="C35" s="8" t="s">
        <v>360</v>
      </c>
      <c r="D35" s="8" t="s">
        <v>361</v>
      </c>
      <c r="E35" s="8" t="e">
        <f>COUNTIFS(zmb_admpop_adm2_2020!#REF!,'AB-ADM2'!D35)</f>
        <v>#REF!</v>
      </c>
      <c r="F35" s="8" t="s">
        <v>288</v>
      </c>
      <c r="G35" s="8" t="s">
        <v>288</v>
      </c>
      <c r="H35" s="8" t="s">
        <v>288</v>
      </c>
      <c r="I35" s="8" t="s">
        <v>362</v>
      </c>
      <c r="J35" s="8" t="s">
        <v>363</v>
      </c>
      <c r="K35" s="8" t="s">
        <v>3</v>
      </c>
      <c r="L35" s="8" t="s">
        <v>291</v>
      </c>
    </row>
    <row r="36" spans="1:12" x14ac:dyDescent="0.25">
      <c r="A36" s="8">
        <v>36</v>
      </c>
      <c r="B36" s="8" t="s">
        <v>285</v>
      </c>
      <c r="C36" s="8" t="s">
        <v>364</v>
      </c>
      <c r="D36" s="8" t="s">
        <v>365</v>
      </c>
      <c r="E36" s="8" t="e">
        <f>COUNTIFS(zmb_admpop_adm2_2020!#REF!,'AB-ADM2'!D36)</f>
        <v>#REF!</v>
      </c>
      <c r="F36" s="8" t="s">
        <v>288</v>
      </c>
      <c r="G36" s="8" t="s">
        <v>288</v>
      </c>
      <c r="H36" s="8" t="s">
        <v>288</v>
      </c>
      <c r="I36" s="8" t="s">
        <v>362</v>
      </c>
      <c r="J36" s="8" t="s">
        <v>363</v>
      </c>
      <c r="K36" s="8" t="s">
        <v>3</v>
      </c>
      <c r="L36" s="8" t="s">
        <v>291</v>
      </c>
    </row>
    <row r="37" spans="1:12" x14ac:dyDescent="0.25">
      <c r="A37" s="8">
        <v>37</v>
      </c>
      <c r="B37" s="8" t="s">
        <v>285</v>
      </c>
      <c r="C37" s="8" t="s">
        <v>366</v>
      </c>
      <c r="D37" s="8" t="s">
        <v>367</v>
      </c>
      <c r="E37" s="8" t="e">
        <f>COUNTIFS(zmb_admpop_adm2_2020!#REF!,'AB-ADM2'!D37)</f>
        <v>#REF!</v>
      </c>
      <c r="F37" s="8" t="s">
        <v>288</v>
      </c>
      <c r="G37" s="8" t="s">
        <v>288</v>
      </c>
      <c r="H37" s="8" t="s">
        <v>288</v>
      </c>
      <c r="I37" s="8" t="s">
        <v>362</v>
      </c>
      <c r="J37" s="8" t="s">
        <v>363</v>
      </c>
      <c r="K37" s="8" t="s">
        <v>3</v>
      </c>
      <c r="L37" s="8" t="s">
        <v>291</v>
      </c>
    </row>
    <row r="38" spans="1:12" x14ac:dyDescent="0.25">
      <c r="A38" s="8">
        <v>38</v>
      </c>
      <c r="B38" s="8" t="s">
        <v>285</v>
      </c>
      <c r="C38" s="8" t="s">
        <v>368</v>
      </c>
      <c r="D38" s="8" t="s">
        <v>369</v>
      </c>
      <c r="E38" s="8" t="e">
        <f>COUNTIFS(zmb_admpop_adm2_2020!#REF!,'AB-ADM2'!D38)</f>
        <v>#REF!</v>
      </c>
      <c r="F38" s="8" t="s">
        <v>288</v>
      </c>
      <c r="G38" s="8" t="s">
        <v>288</v>
      </c>
      <c r="H38" s="8" t="s">
        <v>288</v>
      </c>
      <c r="I38" s="8" t="s">
        <v>362</v>
      </c>
      <c r="J38" s="8" t="s">
        <v>363</v>
      </c>
      <c r="K38" s="8" t="s">
        <v>3</v>
      </c>
      <c r="L38" s="8" t="s">
        <v>291</v>
      </c>
    </row>
    <row r="39" spans="1:12" x14ac:dyDescent="0.25">
      <c r="A39" s="8">
        <v>39</v>
      </c>
      <c r="B39" s="8" t="s">
        <v>285</v>
      </c>
      <c r="C39" s="8" t="s">
        <v>370</v>
      </c>
      <c r="D39" s="8" t="s">
        <v>371</v>
      </c>
      <c r="E39" s="8" t="e">
        <f>COUNTIFS(zmb_admpop_adm2_2020!#REF!,'AB-ADM2'!D39)</f>
        <v>#REF!</v>
      </c>
      <c r="F39" s="8" t="s">
        <v>288</v>
      </c>
      <c r="G39" s="8" t="s">
        <v>288</v>
      </c>
      <c r="H39" s="8" t="s">
        <v>288</v>
      </c>
      <c r="I39" s="8" t="s">
        <v>362</v>
      </c>
      <c r="J39" s="8" t="s">
        <v>363</v>
      </c>
      <c r="K39" s="8" t="s">
        <v>3</v>
      </c>
      <c r="L39" s="8" t="s">
        <v>291</v>
      </c>
    </row>
    <row r="40" spans="1:12" x14ac:dyDescent="0.25">
      <c r="A40" s="8">
        <v>40</v>
      </c>
      <c r="B40" s="8" t="s">
        <v>285</v>
      </c>
      <c r="C40" s="8" t="s">
        <v>372</v>
      </c>
      <c r="D40" s="8" t="s">
        <v>373</v>
      </c>
      <c r="E40" s="8" t="e">
        <f>COUNTIFS(zmb_admpop_adm2_2020!#REF!,'AB-ADM2'!D40)</f>
        <v>#REF!</v>
      </c>
      <c r="F40" s="8" t="s">
        <v>288</v>
      </c>
      <c r="G40" s="8" t="s">
        <v>288</v>
      </c>
      <c r="H40" s="8" t="s">
        <v>288</v>
      </c>
      <c r="I40" s="8" t="s">
        <v>362</v>
      </c>
      <c r="J40" s="8" t="s">
        <v>363</v>
      </c>
      <c r="K40" s="8" t="s">
        <v>3</v>
      </c>
      <c r="L40" s="8" t="s">
        <v>291</v>
      </c>
    </row>
    <row r="41" spans="1:12" x14ac:dyDescent="0.25">
      <c r="A41" s="8">
        <v>41</v>
      </c>
      <c r="B41" s="8" t="s">
        <v>285</v>
      </c>
      <c r="C41" s="8" t="s">
        <v>374</v>
      </c>
      <c r="D41" s="8" t="s">
        <v>375</v>
      </c>
      <c r="E41" s="8" t="e">
        <f>COUNTIFS(zmb_admpop_adm2_2020!#REF!,'AB-ADM2'!D41)</f>
        <v>#REF!</v>
      </c>
      <c r="F41" s="8" t="s">
        <v>288</v>
      </c>
      <c r="G41" s="8" t="s">
        <v>288</v>
      </c>
      <c r="H41" s="8" t="s">
        <v>288</v>
      </c>
      <c r="I41" s="8" t="s">
        <v>362</v>
      </c>
      <c r="J41" s="8" t="s">
        <v>363</v>
      </c>
      <c r="K41" s="8" t="s">
        <v>3</v>
      </c>
      <c r="L41" s="8" t="s">
        <v>291</v>
      </c>
    </row>
    <row r="42" spans="1:12" x14ac:dyDescent="0.25">
      <c r="A42" s="8">
        <v>42</v>
      </c>
      <c r="B42" s="8" t="s">
        <v>285</v>
      </c>
      <c r="C42" s="8" t="s">
        <v>376</v>
      </c>
      <c r="D42" s="8" t="s">
        <v>377</v>
      </c>
      <c r="E42" s="8" t="e">
        <f>COUNTIFS(zmb_admpop_adm2_2020!#REF!,'AB-ADM2'!D42)</f>
        <v>#REF!</v>
      </c>
      <c r="F42" s="8" t="s">
        <v>288</v>
      </c>
      <c r="G42" s="8" t="s">
        <v>288</v>
      </c>
      <c r="H42" s="8" t="s">
        <v>288</v>
      </c>
      <c r="I42" s="8" t="s">
        <v>362</v>
      </c>
      <c r="J42" s="8" t="s">
        <v>363</v>
      </c>
      <c r="K42" s="8" t="s">
        <v>3</v>
      </c>
      <c r="L42" s="8" t="s">
        <v>291</v>
      </c>
    </row>
    <row r="43" spans="1:12" x14ac:dyDescent="0.25">
      <c r="A43" s="8">
        <v>43</v>
      </c>
      <c r="B43" s="8" t="s">
        <v>285</v>
      </c>
      <c r="C43" s="8" t="s">
        <v>378</v>
      </c>
      <c r="D43" s="8" t="s">
        <v>379</v>
      </c>
      <c r="E43" s="8" t="e">
        <f>COUNTIFS(zmb_admpop_adm2_2020!#REF!,'AB-ADM2'!D43)</f>
        <v>#REF!</v>
      </c>
      <c r="F43" s="8" t="s">
        <v>288</v>
      </c>
      <c r="G43" s="8" t="s">
        <v>288</v>
      </c>
      <c r="H43" s="8" t="s">
        <v>288</v>
      </c>
      <c r="I43" s="8" t="s">
        <v>362</v>
      </c>
      <c r="J43" s="8" t="s">
        <v>363</v>
      </c>
      <c r="K43" s="8" t="s">
        <v>3</v>
      </c>
      <c r="L43" s="8" t="s">
        <v>291</v>
      </c>
    </row>
    <row r="44" spans="1:12" x14ac:dyDescent="0.25">
      <c r="A44" s="8">
        <v>44</v>
      </c>
      <c r="B44" s="8" t="s">
        <v>285</v>
      </c>
      <c r="C44" s="8" t="s">
        <v>380</v>
      </c>
      <c r="D44" s="8" t="s">
        <v>381</v>
      </c>
      <c r="E44" s="8" t="e">
        <f>COUNTIFS(zmb_admpop_adm2_2020!#REF!,'AB-ADM2'!D44)</f>
        <v>#REF!</v>
      </c>
      <c r="F44" s="8" t="s">
        <v>288</v>
      </c>
      <c r="G44" s="8" t="s">
        <v>288</v>
      </c>
      <c r="H44" s="8" t="s">
        <v>288</v>
      </c>
      <c r="I44" s="8" t="s">
        <v>362</v>
      </c>
      <c r="J44" s="8" t="s">
        <v>363</v>
      </c>
      <c r="K44" s="8" t="s">
        <v>3</v>
      </c>
      <c r="L44" s="8" t="s">
        <v>291</v>
      </c>
    </row>
    <row r="45" spans="1:12" x14ac:dyDescent="0.25">
      <c r="A45" s="8">
        <v>46</v>
      </c>
      <c r="B45" s="8" t="s">
        <v>285</v>
      </c>
      <c r="C45" s="8" t="s">
        <v>382</v>
      </c>
      <c r="D45" s="8" t="s">
        <v>383</v>
      </c>
      <c r="E45" s="8" t="e">
        <f>COUNTIFS(zmb_admpop_adm2_2020!#REF!,'AB-ADM2'!D45)</f>
        <v>#REF!</v>
      </c>
      <c r="F45" s="8" t="s">
        <v>288</v>
      </c>
      <c r="G45" s="8" t="s">
        <v>288</v>
      </c>
      <c r="H45" s="8" t="s">
        <v>288</v>
      </c>
      <c r="I45" s="8" t="s">
        <v>362</v>
      </c>
      <c r="J45" s="8" t="s">
        <v>363</v>
      </c>
      <c r="K45" s="8" t="s">
        <v>3</v>
      </c>
      <c r="L45" s="8" t="s">
        <v>291</v>
      </c>
    </row>
    <row r="46" spans="1:12" x14ac:dyDescent="0.25">
      <c r="A46" s="8">
        <v>47</v>
      </c>
      <c r="B46" s="8" t="s">
        <v>285</v>
      </c>
      <c r="C46" s="8" t="s">
        <v>384</v>
      </c>
      <c r="D46" s="8" t="s">
        <v>385</v>
      </c>
      <c r="E46" s="8" t="e">
        <f>COUNTIFS(zmb_admpop_adm2_2020!#REF!,'AB-ADM2'!D46)</f>
        <v>#REF!</v>
      </c>
      <c r="F46" s="8" t="s">
        <v>288</v>
      </c>
      <c r="G46" s="8" t="s">
        <v>288</v>
      </c>
      <c r="H46" s="8" t="s">
        <v>288</v>
      </c>
      <c r="I46" s="8" t="s">
        <v>386</v>
      </c>
      <c r="J46" s="8" t="s">
        <v>387</v>
      </c>
      <c r="K46" s="8" t="s">
        <v>3</v>
      </c>
      <c r="L46" s="8" t="s">
        <v>291</v>
      </c>
    </row>
    <row r="47" spans="1:12" x14ac:dyDescent="0.25">
      <c r="A47" s="8">
        <v>48</v>
      </c>
      <c r="B47" s="8" t="s">
        <v>285</v>
      </c>
      <c r="C47" s="8" t="s">
        <v>388</v>
      </c>
      <c r="D47" s="8" t="s">
        <v>389</v>
      </c>
      <c r="E47" s="8" t="e">
        <f>COUNTIFS(zmb_admpop_adm2_2020!#REF!,'AB-ADM2'!D47)</f>
        <v>#REF!</v>
      </c>
      <c r="F47" s="8" t="s">
        <v>288</v>
      </c>
      <c r="G47" s="8" t="s">
        <v>288</v>
      </c>
      <c r="H47" s="8" t="s">
        <v>288</v>
      </c>
      <c r="I47" s="8" t="s">
        <v>386</v>
      </c>
      <c r="J47" s="8" t="s">
        <v>387</v>
      </c>
      <c r="K47" s="8" t="s">
        <v>3</v>
      </c>
      <c r="L47" s="8" t="s">
        <v>291</v>
      </c>
    </row>
    <row r="48" spans="1:12" x14ac:dyDescent="0.25">
      <c r="A48" s="8">
        <v>49</v>
      </c>
      <c r="B48" s="8" t="s">
        <v>285</v>
      </c>
      <c r="C48" s="8" t="s">
        <v>390</v>
      </c>
      <c r="D48" s="8" t="s">
        <v>391</v>
      </c>
      <c r="E48" s="8" t="e">
        <f>COUNTIFS(zmb_admpop_adm2_2020!#REF!,'AB-ADM2'!D48)</f>
        <v>#REF!</v>
      </c>
      <c r="F48" s="8" t="s">
        <v>288</v>
      </c>
      <c r="G48" s="8" t="s">
        <v>288</v>
      </c>
      <c r="H48" s="8" t="s">
        <v>288</v>
      </c>
      <c r="I48" s="8" t="s">
        <v>386</v>
      </c>
      <c r="J48" s="8" t="s">
        <v>387</v>
      </c>
      <c r="K48" s="8" t="s">
        <v>3</v>
      </c>
      <c r="L48" s="8" t="s">
        <v>291</v>
      </c>
    </row>
    <row r="49" spans="1:12" x14ac:dyDescent="0.25">
      <c r="A49" s="8">
        <v>50</v>
      </c>
      <c r="B49" s="8" t="s">
        <v>285</v>
      </c>
      <c r="C49" s="8" t="s">
        <v>392</v>
      </c>
      <c r="D49" s="8" t="s">
        <v>393</v>
      </c>
      <c r="E49" s="8" t="e">
        <f>COUNTIFS(zmb_admpop_adm2_2020!#REF!,'AB-ADM2'!D49)</f>
        <v>#REF!</v>
      </c>
      <c r="F49" s="8" t="s">
        <v>288</v>
      </c>
      <c r="G49" s="8" t="s">
        <v>288</v>
      </c>
      <c r="H49" s="8" t="s">
        <v>288</v>
      </c>
      <c r="I49" s="8" t="s">
        <v>386</v>
      </c>
      <c r="J49" s="8" t="s">
        <v>387</v>
      </c>
      <c r="K49" s="8" t="s">
        <v>3</v>
      </c>
      <c r="L49" s="8" t="s">
        <v>291</v>
      </c>
    </row>
    <row r="50" spans="1:12" x14ac:dyDescent="0.25">
      <c r="A50" s="8">
        <v>51</v>
      </c>
      <c r="B50" s="8" t="s">
        <v>285</v>
      </c>
      <c r="C50" s="8" t="s">
        <v>394</v>
      </c>
      <c r="D50" s="8" t="s">
        <v>395</v>
      </c>
      <c r="E50" s="8" t="e">
        <f>COUNTIFS(zmb_admpop_adm2_2020!#REF!,'AB-ADM2'!D50)</f>
        <v>#REF!</v>
      </c>
      <c r="F50" s="8" t="s">
        <v>288</v>
      </c>
      <c r="G50" s="8" t="s">
        <v>288</v>
      </c>
      <c r="H50" s="8" t="s">
        <v>288</v>
      </c>
      <c r="I50" s="8" t="s">
        <v>386</v>
      </c>
      <c r="J50" s="8" t="s">
        <v>387</v>
      </c>
      <c r="K50" s="8" t="s">
        <v>3</v>
      </c>
      <c r="L50" s="8" t="s">
        <v>291</v>
      </c>
    </row>
    <row r="51" spans="1:12" x14ac:dyDescent="0.25">
      <c r="A51" s="8">
        <v>52</v>
      </c>
      <c r="B51" s="8" t="s">
        <v>285</v>
      </c>
      <c r="C51" s="8" t="s">
        <v>386</v>
      </c>
      <c r="D51" s="8" t="s">
        <v>396</v>
      </c>
      <c r="E51" s="8" t="e">
        <f>COUNTIFS(zmb_admpop_adm2_2020!#REF!,'AB-ADM2'!D51)</f>
        <v>#REF!</v>
      </c>
      <c r="F51" s="8" t="s">
        <v>288</v>
      </c>
      <c r="G51" s="8" t="s">
        <v>288</v>
      </c>
      <c r="H51" s="8" t="s">
        <v>288</v>
      </c>
      <c r="I51" s="8" t="s">
        <v>386</v>
      </c>
      <c r="J51" s="8" t="s">
        <v>387</v>
      </c>
      <c r="K51" s="8" t="s">
        <v>3</v>
      </c>
      <c r="L51" s="8" t="s">
        <v>291</v>
      </c>
    </row>
    <row r="52" spans="1:12" x14ac:dyDescent="0.25">
      <c r="A52" s="8">
        <v>53</v>
      </c>
      <c r="B52" s="8" t="s">
        <v>285</v>
      </c>
      <c r="C52" s="8" t="s">
        <v>397</v>
      </c>
      <c r="D52" s="8" t="s">
        <v>398</v>
      </c>
      <c r="E52" s="8" t="e">
        <f>COUNTIFS(zmb_admpop_adm2_2020!#REF!,'AB-ADM2'!D52)</f>
        <v>#REF!</v>
      </c>
      <c r="F52" s="8" t="s">
        <v>288</v>
      </c>
      <c r="G52" s="8" t="s">
        <v>288</v>
      </c>
      <c r="H52" s="8" t="s">
        <v>288</v>
      </c>
      <c r="I52" s="8" t="s">
        <v>386</v>
      </c>
      <c r="J52" s="8" t="s">
        <v>387</v>
      </c>
      <c r="K52" s="8" t="s">
        <v>3</v>
      </c>
      <c r="L52" s="8" t="s">
        <v>291</v>
      </c>
    </row>
    <row r="53" spans="1:12" x14ac:dyDescent="0.25">
      <c r="A53" s="8">
        <v>54</v>
      </c>
      <c r="B53" s="8" t="s">
        <v>285</v>
      </c>
      <c r="C53" s="8" t="s">
        <v>399</v>
      </c>
      <c r="D53" s="8" t="s">
        <v>400</v>
      </c>
      <c r="E53" s="8" t="e">
        <f>COUNTIFS(zmb_admpop_adm2_2020!#REF!,'AB-ADM2'!D53)</f>
        <v>#REF!</v>
      </c>
      <c r="F53" s="8" t="s">
        <v>288</v>
      </c>
      <c r="G53" s="8" t="s">
        <v>288</v>
      </c>
      <c r="H53" s="8" t="s">
        <v>288</v>
      </c>
      <c r="I53" s="8" t="s">
        <v>386</v>
      </c>
      <c r="J53" s="8" t="s">
        <v>387</v>
      </c>
      <c r="K53" s="8" t="s">
        <v>3</v>
      </c>
      <c r="L53" s="8" t="s">
        <v>291</v>
      </c>
    </row>
    <row r="54" spans="1:12" x14ac:dyDescent="0.25">
      <c r="A54" s="8">
        <v>55</v>
      </c>
      <c r="B54" s="8" t="s">
        <v>285</v>
      </c>
      <c r="C54" s="8" t="s">
        <v>401</v>
      </c>
      <c r="D54" s="8" t="s">
        <v>402</v>
      </c>
      <c r="E54" s="8" t="e">
        <f>COUNTIFS(zmb_admpop_adm2_2020!#REF!,'AB-ADM2'!D54)</f>
        <v>#REF!</v>
      </c>
      <c r="F54" s="8" t="s">
        <v>288</v>
      </c>
      <c r="G54" s="8" t="s">
        <v>288</v>
      </c>
      <c r="H54" s="8" t="s">
        <v>288</v>
      </c>
      <c r="I54" s="8" t="s">
        <v>403</v>
      </c>
      <c r="J54" s="8" t="s">
        <v>404</v>
      </c>
      <c r="K54" s="8" t="s">
        <v>3</v>
      </c>
      <c r="L54" s="8" t="s">
        <v>291</v>
      </c>
    </row>
    <row r="55" spans="1:12" x14ac:dyDescent="0.25">
      <c r="A55" s="8">
        <v>56</v>
      </c>
      <c r="B55" s="8" t="s">
        <v>285</v>
      </c>
      <c r="C55" s="8" t="s">
        <v>405</v>
      </c>
      <c r="D55" s="8" t="s">
        <v>406</v>
      </c>
      <c r="E55" s="8" t="e">
        <f>COUNTIFS(zmb_admpop_adm2_2020!#REF!,'AB-ADM2'!D55)</f>
        <v>#REF!</v>
      </c>
      <c r="F55" s="8" t="s">
        <v>288</v>
      </c>
      <c r="G55" s="8" t="s">
        <v>288</v>
      </c>
      <c r="H55" s="8" t="s">
        <v>288</v>
      </c>
      <c r="I55" s="8" t="s">
        <v>403</v>
      </c>
      <c r="J55" s="8" t="s">
        <v>404</v>
      </c>
      <c r="K55" s="8" t="s">
        <v>3</v>
      </c>
      <c r="L55" s="8" t="s">
        <v>291</v>
      </c>
    </row>
    <row r="56" spans="1:12" x14ac:dyDescent="0.25">
      <c r="A56" s="8">
        <v>57</v>
      </c>
      <c r="B56" s="8" t="s">
        <v>285</v>
      </c>
      <c r="C56" s="8" t="s">
        <v>407</v>
      </c>
      <c r="D56" s="8" t="s">
        <v>408</v>
      </c>
      <c r="E56" s="8" t="e">
        <f>COUNTIFS(zmb_admpop_adm2_2020!#REF!,'AB-ADM2'!D56)</f>
        <v>#REF!</v>
      </c>
      <c r="F56" s="8" t="s">
        <v>288</v>
      </c>
      <c r="G56" s="8" t="s">
        <v>288</v>
      </c>
      <c r="H56" s="8" t="s">
        <v>288</v>
      </c>
      <c r="I56" s="8" t="s">
        <v>403</v>
      </c>
      <c r="J56" s="8" t="s">
        <v>404</v>
      </c>
      <c r="K56" s="8" t="s">
        <v>3</v>
      </c>
      <c r="L56" s="8" t="s">
        <v>291</v>
      </c>
    </row>
    <row r="57" spans="1:12" x14ac:dyDescent="0.25">
      <c r="A57" s="8">
        <v>58</v>
      </c>
      <c r="B57" s="8" t="s">
        <v>285</v>
      </c>
      <c r="C57" s="8" t="s">
        <v>409</v>
      </c>
      <c r="D57" s="8" t="s">
        <v>410</v>
      </c>
      <c r="E57" s="8" t="e">
        <f>COUNTIFS(zmb_admpop_adm2_2020!#REF!,'AB-ADM2'!D57)</f>
        <v>#REF!</v>
      </c>
      <c r="F57" s="8" t="s">
        <v>288</v>
      </c>
      <c r="G57" s="8" t="s">
        <v>288</v>
      </c>
      <c r="H57" s="8" t="s">
        <v>288</v>
      </c>
      <c r="I57" s="8" t="s">
        <v>403</v>
      </c>
      <c r="J57" s="8" t="s">
        <v>404</v>
      </c>
      <c r="K57" s="8" t="s">
        <v>3</v>
      </c>
      <c r="L57" s="8" t="s">
        <v>291</v>
      </c>
    </row>
    <row r="58" spans="1:12" x14ac:dyDescent="0.25">
      <c r="A58" s="8">
        <v>59</v>
      </c>
      <c r="B58" s="8" t="s">
        <v>285</v>
      </c>
      <c r="C58" s="8" t="s">
        <v>411</v>
      </c>
      <c r="D58" s="8" t="s">
        <v>412</v>
      </c>
      <c r="E58" s="8" t="e">
        <f>COUNTIFS(zmb_admpop_adm2_2020!#REF!,'AB-ADM2'!D58)</f>
        <v>#REF!</v>
      </c>
      <c r="F58" s="8" t="s">
        <v>288</v>
      </c>
      <c r="G58" s="8" t="s">
        <v>288</v>
      </c>
      <c r="H58" s="8" t="s">
        <v>288</v>
      </c>
      <c r="I58" s="8" t="s">
        <v>403</v>
      </c>
      <c r="J58" s="8" t="s">
        <v>404</v>
      </c>
      <c r="K58" s="8" t="s">
        <v>3</v>
      </c>
      <c r="L58" s="8" t="s">
        <v>291</v>
      </c>
    </row>
    <row r="59" spans="1:12" x14ac:dyDescent="0.25">
      <c r="A59" s="8">
        <v>60</v>
      </c>
      <c r="B59" s="8" t="s">
        <v>285</v>
      </c>
      <c r="C59" s="8" t="s">
        <v>413</v>
      </c>
      <c r="D59" s="8" t="s">
        <v>414</v>
      </c>
      <c r="E59" s="8" t="e">
        <f>COUNTIFS(zmb_admpop_adm2_2020!#REF!,'AB-ADM2'!D59)</f>
        <v>#REF!</v>
      </c>
      <c r="F59" s="8" t="s">
        <v>288</v>
      </c>
      <c r="G59" s="8" t="s">
        <v>288</v>
      </c>
      <c r="H59" s="8" t="s">
        <v>288</v>
      </c>
      <c r="I59" s="8" t="s">
        <v>403</v>
      </c>
      <c r="J59" s="8" t="s">
        <v>404</v>
      </c>
      <c r="K59" s="8" t="s">
        <v>3</v>
      </c>
      <c r="L59" s="8" t="s">
        <v>291</v>
      </c>
    </row>
    <row r="60" spans="1:12" x14ac:dyDescent="0.25">
      <c r="A60" s="8">
        <v>61</v>
      </c>
      <c r="B60" s="8" t="s">
        <v>285</v>
      </c>
      <c r="C60" s="8" t="s">
        <v>415</v>
      </c>
      <c r="D60" s="8" t="s">
        <v>416</v>
      </c>
      <c r="E60" s="8" t="e">
        <f>COUNTIFS(zmb_admpop_adm2_2020!#REF!,'AB-ADM2'!D60)</f>
        <v>#REF!</v>
      </c>
      <c r="F60" s="8" t="s">
        <v>288</v>
      </c>
      <c r="G60" s="8" t="s">
        <v>288</v>
      </c>
      <c r="H60" s="8" t="s">
        <v>288</v>
      </c>
      <c r="I60" s="8" t="s">
        <v>403</v>
      </c>
      <c r="J60" s="8" t="s">
        <v>404</v>
      </c>
      <c r="K60" s="8" t="s">
        <v>3</v>
      </c>
      <c r="L60" s="8" t="s">
        <v>291</v>
      </c>
    </row>
    <row r="61" spans="1:12" x14ac:dyDescent="0.25">
      <c r="A61" s="8">
        <v>62</v>
      </c>
      <c r="B61" s="8" t="s">
        <v>285</v>
      </c>
      <c r="C61" s="8" t="s">
        <v>417</v>
      </c>
      <c r="D61" s="8" t="s">
        <v>418</v>
      </c>
      <c r="E61" s="8" t="e">
        <f>COUNTIFS(zmb_admpop_adm2_2020!#REF!,'AB-ADM2'!D61)</f>
        <v>#REF!</v>
      </c>
      <c r="F61" s="8" t="s">
        <v>288</v>
      </c>
      <c r="G61" s="8" t="s">
        <v>288</v>
      </c>
      <c r="H61" s="8" t="s">
        <v>288</v>
      </c>
      <c r="I61" s="8" t="s">
        <v>403</v>
      </c>
      <c r="J61" s="8" t="s">
        <v>404</v>
      </c>
      <c r="K61" s="8" t="s">
        <v>3</v>
      </c>
      <c r="L61" s="8" t="s">
        <v>291</v>
      </c>
    </row>
    <row r="62" spans="1:12" x14ac:dyDescent="0.25">
      <c r="A62" s="8">
        <v>64</v>
      </c>
      <c r="B62" s="8" t="s">
        <v>285</v>
      </c>
      <c r="C62" s="8" t="s">
        <v>419</v>
      </c>
      <c r="D62" s="8" t="s">
        <v>420</v>
      </c>
      <c r="E62" s="8" t="e">
        <f>COUNTIFS(zmb_admpop_adm2_2020!#REF!,'AB-ADM2'!D62)</f>
        <v>#REF!</v>
      </c>
      <c r="F62" s="8" t="s">
        <v>288</v>
      </c>
      <c r="G62" s="8" t="s">
        <v>288</v>
      </c>
      <c r="H62" s="8" t="s">
        <v>288</v>
      </c>
      <c r="I62" s="8" t="s">
        <v>421</v>
      </c>
      <c r="J62" s="8" t="s">
        <v>422</v>
      </c>
      <c r="K62" s="8" t="s">
        <v>3</v>
      </c>
      <c r="L62" s="8" t="s">
        <v>291</v>
      </c>
    </row>
    <row r="63" spans="1:12" x14ac:dyDescent="0.25">
      <c r="A63" s="8">
        <v>65</v>
      </c>
      <c r="B63" s="8" t="s">
        <v>285</v>
      </c>
      <c r="C63" s="8" t="s">
        <v>423</v>
      </c>
      <c r="D63" s="8" t="s">
        <v>424</v>
      </c>
      <c r="E63" s="8" t="e">
        <f>COUNTIFS(zmb_admpop_adm2_2020!#REF!,'AB-ADM2'!D63)</f>
        <v>#REF!</v>
      </c>
      <c r="F63" s="8" t="s">
        <v>288</v>
      </c>
      <c r="G63" s="8" t="s">
        <v>288</v>
      </c>
      <c r="H63" s="8" t="s">
        <v>288</v>
      </c>
      <c r="I63" s="8" t="s">
        <v>421</v>
      </c>
      <c r="J63" s="8" t="s">
        <v>422</v>
      </c>
      <c r="K63" s="8" t="s">
        <v>3</v>
      </c>
      <c r="L63" s="8" t="s">
        <v>291</v>
      </c>
    </row>
    <row r="64" spans="1:12" x14ac:dyDescent="0.25">
      <c r="A64" s="8">
        <v>66</v>
      </c>
      <c r="B64" s="8" t="s">
        <v>285</v>
      </c>
      <c r="C64" s="8" t="s">
        <v>425</v>
      </c>
      <c r="D64" s="8" t="s">
        <v>426</v>
      </c>
      <c r="E64" s="8" t="e">
        <f>COUNTIFS(zmb_admpop_adm2_2020!#REF!,'AB-ADM2'!D64)</f>
        <v>#REF!</v>
      </c>
      <c r="F64" s="8" t="s">
        <v>288</v>
      </c>
      <c r="G64" s="8" t="s">
        <v>288</v>
      </c>
      <c r="H64" s="8" t="s">
        <v>288</v>
      </c>
      <c r="I64" s="8" t="s">
        <v>421</v>
      </c>
      <c r="J64" s="8" t="s">
        <v>422</v>
      </c>
      <c r="K64" s="8" t="s">
        <v>3</v>
      </c>
      <c r="L64" s="8" t="s">
        <v>291</v>
      </c>
    </row>
    <row r="65" spans="1:12" x14ac:dyDescent="0.25">
      <c r="A65" s="8">
        <v>67</v>
      </c>
      <c r="B65" s="8" t="s">
        <v>285</v>
      </c>
      <c r="C65" s="8" t="s">
        <v>427</v>
      </c>
      <c r="D65" s="8" t="s">
        <v>428</v>
      </c>
      <c r="E65" s="8" t="e">
        <f>COUNTIFS(zmb_admpop_adm2_2020!#REF!,'AB-ADM2'!D65)</f>
        <v>#REF!</v>
      </c>
      <c r="F65" s="8" t="s">
        <v>288</v>
      </c>
      <c r="G65" s="8" t="s">
        <v>288</v>
      </c>
      <c r="H65" s="8" t="s">
        <v>288</v>
      </c>
      <c r="I65" s="8" t="s">
        <v>421</v>
      </c>
      <c r="J65" s="8" t="s">
        <v>422</v>
      </c>
      <c r="K65" s="8" t="s">
        <v>3</v>
      </c>
      <c r="L65" s="8" t="s">
        <v>291</v>
      </c>
    </row>
    <row r="66" spans="1:12" x14ac:dyDescent="0.25">
      <c r="A66" s="8">
        <v>68</v>
      </c>
      <c r="B66" s="8" t="s">
        <v>285</v>
      </c>
      <c r="C66" s="8" t="s">
        <v>429</v>
      </c>
      <c r="D66" s="8" t="s">
        <v>430</v>
      </c>
      <c r="E66" s="8" t="e">
        <f>COUNTIFS(zmb_admpop_adm2_2020!#REF!,'AB-ADM2'!D66)</f>
        <v>#REF!</v>
      </c>
      <c r="F66" s="8" t="s">
        <v>288</v>
      </c>
      <c r="G66" s="8" t="s">
        <v>288</v>
      </c>
      <c r="H66" s="8" t="s">
        <v>288</v>
      </c>
      <c r="I66" s="8" t="s">
        <v>421</v>
      </c>
      <c r="J66" s="8" t="s">
        <v>422</v>
      </c>
      <c r="K66" s="8" t="s">
        <v>3</v>
      </c>
      <c r="L66" s="8" t="s">
        <v>291</v>
      </c>
    </row>
    <row r="67" spans="1:12" x14ac:dyDescent="0.25">
      <c r="A67" s="8">
        <v>69</v>
      </c>
      <c r="B67" s="8" t="s">
        <v>285</v>
      </c>
      <c r="C67" s="8" t="s">
        <v>431</v>
      </c>
      <c r="D67" s="8" t="s">
        <v>432</v>
      </c>
      <c r="E67" s="8" t="e">
        <f>COUNTIFS(zmb_admpop_adm2_2020!#REF!,'AB-ADM2'!D67)</f>
        <v>#REF!</v>
      </c>
      <c r="F67" s="8" t="s">
        <v>288</v>
      </c>
      <c r="G67" s="8" t="s">
        <v>288</v>
      </c>
      <c r="H67" s="8" t="s">
        <v>288</v>
      </c>
      <c r="I67" s="8" t="s">
        <v>421</v>
      </c>
      <c r="J67" s="8" t="s">
        <v>422</v>
      </c>
      <c r="K67" s="8" t="s">
        <v>3</v>
      </c>
      <c r="L67" s="8" t="s">
        <v>291</v>
      </c>
    </row>
    <row r="68" spans="1:12" x14ac:dyDescent="0.25">
      <c r="A68" s="8">
        <v>70</v>
      </c>
      <c r="B68" s="8" t="s">
        <v>285</v>
      </c>
      <c r="C68" s="8" t="s">
        <v>433</v>
      </c>
      <c r="D68" s="8" t="s">
        <v>434</v>
      </c>
      <c r="E68" s="8" t="e">
        <f>COUNTIFS(zmb_admpop_adm2_2020!#REF!,'AB-ADM2'!D68)</f>
        <v>#REF!</v>
      </c>
      <c r="F68" s="8" t="s">
        <v>288</v>
      </c>
      <c r="G68" s="8" t="s">
        <v>288</v>
      </c>
      <c r="H68" s="8" t="s">
        <v>288</v>
      </c>
      <c r="I68" s="8" t="s">
        <v>421</v>
      </c>
      <c r="J68" s="8" t="s">
        <v>422</v>
      </c>
      <c r="K68" s="8" t="s">
        <v>3</v>
      </c>
      <c r="L68" s="8" t="s">
        <v>291</v>
      </c>
    </row>
    <row r="69" spans="1:12" x14ac:dyDescent="0.25">
      <c r="A69" s="8">
        <v>71</v>
      </c>
      <c r="B69" s="8" t="s">
        <v>285</v>
      </c>
      <c r="C69" s="8" t="s">
        <v>435</v>
      </c>
      <c r="D69" s="8" t="s">
        <v>436</v>
      </c>
      <c r="E69" s="8" t="e">
        <f>COUNTIFS(zmb_admpop_adm2_2020!#REF!,'AB-ADM2'!D69)</f>
        <v>#REF!</v>
      </c>
      <c r="F69" s="8" t="s">
        <v>288</v>
      </c>
      <c r="G69" s="8" t="s">
        <v>288</v>
      </c>
      <c r="H69" s="8" t="s">
        <v>288</v>
      </c>
      <c r="I69" s="8" t="s">
        <v>421</v>
      </c>
      <c r="J69" s="8" t="s">
        <v>422</v>
      </c>
      <c r="K69" s="8" t="s">
        <v>3</v>
      </c>
      <c r="L69" s="8" t="s">
        <v>291</v>
      </c>
    </row>
    <row r="70" spans="1:12" x14ac:dyDescent="0.25">
      <c r="A70" s="8">
        <v>72</v>
      </c>
      <c r="B70" s="8" t="s">
        <v>285</v>
      </c>
      <c r="C70" s="8" t="s">
        <v>437</v>
      </c>
      <c r="D70" s="8" t="s">
        <v>438</v>
      </c>
      <c r="E70" s="8" t="e">
        <f>COUNTIFS(zmb_admpop_adm2_2020!#REF!,'AB-ADM2'!D70)</f>
        <v>#REF!</v>
      </c>
      <c r="F70" s="8" t="s">
        <v>288</v>
      </c>
      <c r="G70" s="8" t="s">
        <v>288</v>
      </c>
      <c r="H70" s="8" t="s">
        <v>288</v>
      </c>
      <c r="I70" s="8" t="s">
        <v>421</v>
      </c>
      <c r="J70" s="8" t="s">
        <v>422</v>
      </c>
      <c r="K70" s="8" t="s">
        <v>3</v>
      </c>
      <c r="L70" s="8" t="s">
        <v>291</v>
      </c>
    </row>
    <row r="71" spans="1:12" x14ac:dyDescent="0.25">
      <c r="A71" s="8">
        <v>73</v>
      </c>
      <c r="B71" s="8" t="s">
        <v>285</v>
      </c>
      <c r="C71" s="8" t="s">
        <v>439</v>
      </c>
      <c r="D71" s="8" t="s">
        <v>440</v>
      </c>
      <c r="E71" s="8" t="e">
        <f>COUNTIFS(zmb_admpop_adm2_2020!#REF!,'AB-ADM2'!D71)</f>
        <v>#REF!</v>
      </c>
      <c r="F71" s="8" t="s">
        <v>288</v>
      </c>
      <c r="G71" s="8" t="s">
        <v>288</v>
      </c>
      <c r="H71" s="8" t="s">
        <v>288</v>
      </c>
      <c r="I71" s="8" t="s">
        <v>421</v>
      </c>
      <c r="J71" s="8" t="s">
        <v>422</v>
      </c>
      <c r="K71" s="8" t="s">
        <v>3</v>
      </c>
      <c r="L71" s="8" t="s">
        <v>291</v>
      </c>
    </row>
    <row r="72" spans="1:12" x14ac:dyDescent="0.25">
      <c r="A72" s="8">
        <v>74</v>
      </c>
      <c r="B72" s="8" t="s">
        <v>285</v>
      </c>
      <c r="C72" s="8" t="s">
        <v>441</v>
      </c>
      <c r="D72" s="8" t="s">
        <v>442</v>
      </c>
      <c r="E72" s="8" t="e">
        <f>COUNTIFS(zmb_admpop_adm2_2020!#REF!,'AB-ADM2'!D72)</f>
        <v>#REF!</v>
      </c>
      <c r="F72" s="8" t="s">
        <v>288</v>
      </c>
      <c r="G72" s="8" t="s">
        <v>288</v>
      </c>
      <c r="H72" s="8" t="s">
        <v>288</v>
      </c>
      <c r="I72" s="8" t="s">
        <v>421</v>
      </c>
      <c r="J72" s="8" t="s">
        <v>422</v>
      </c>
      <c r="K72" s="8" t="s">
        <v>3</v>
      </c>
      <c r="L72" s="8" t="s">
        <v>291</v>
      </c>
    </row>
    <row r="73" spans="1:12" x14ac:dyDescent="0.25">
      <c r="A73" s="8">
        <v>75</v>
      </c>
      <c r="B73" s="8" t="s">
        <v>285</v>
      </c>
      <c r="C73" s="8" t="s">
        <v>443</v>
      </c>
      <c r="D73" s="8" t="s">
        <v>444</v>
      </c>
      <c r="E73" s="8" t="e">
        <f>COUNTIFS(zmb_admpop_adm2_2020!#REF!,'AB-ADM2'!D73)</f>
        <v>#REF!</v>
      </c>
      <c r="F73" s="8" t="s">
        <v>288</v>
      </c>
      <c r="G73" s="8" t="s">
        <v>288</v>
      </c>
      <c r="H73" s="8" t="s">
        <v>288</v>
      </c>
      <c r="I73" s="8" t="s">
        <v>445</v>
      </c>
      <c r="J73" s="8" t="s">
        <v>446</v>
      </c>
      <c r="K73" s="8" t="s">
        <v>3</v>
      </c>
      <c r="L73" s="8" t="s">
        <v>291</v>
      </c>
    </row>
    <row r="74" spans="1:12" x14ac:dyDescent="0.25">
      <c r="A74" s="8">
        <v>76</v>
      </c>
      <c r="B74" s="8" t="s">
        <v>285</v>
      </c>
      <c r="C74" s="8" t="s">
        <v>447</v>
      </c>
      <c r="D74" s="8" t="s">
        <v>448</v>
      </c>
      <c r="E74" s="8" t="e">
        <f>COUNTIFS(zmb_admpop_adm2_2020!#REF!,'AB-ADM2'!D74)</f>
        <v>#REF!</v>
      </c>
      <c r="F74" s="8" t="s">
        <v>288</v>
      </c>
      <c r="G74" s="8" t="s">
        <v>288</v>
      </c>
      <c r="H74" s="8" t="s">
        <v>288</v>
      </c>
      <c r="I74" s="8" t="s">
        <v>445</v>
      </c>
      <c r="J74" s="8" t="s">
        <v>446</v>
      </c>
      <c r="K74" s="8" t="s">
        <v>3</v>
      </c>
      <c r="L74" s="8" t="s">
        <v>291</v>
      </c>
    </row>
    <row r="75" spans="1:12" x14ac:dyDescent="0.25">
      <c r="A75" s="8">
        <v>77</v>
      </c>
      <c r="B75" s="8" t="s">
        <v>285</v>
      </c>
      <c r="C75" s="8" t="s">
        <v>449</v>
      </c>
      <c r="D75" s="8" t="s">
        <v>450</v>
      </c>
      <c r="E75" s="8" t="e">
        <f>COUNTIFS(zmb_admpop_adm2_2020!#REF!,'AB-ADM2'!D75)</f>
        <v>#REF!</v>
      </c>
      <c r="F75" s="8" t="s">
        <v>288</v>
      </c>
      <c r="G75" s="8" t="s">
        <v>288</v>
      </c>
      <c r="H75" s="8" t="s">
        <v>288</v>
      </c>
      <c r="I75" s="8" t="s">
        <v>445</v>
      </c>
      <c r="J75" s="8" t="s">
        <v>446</v>
      </c>
      <c r="K75" s="8" t="s">
        <v>3</v>
      </c>
      <c r="L75" s="8" t="s">
        <v>291</v>
      </c>
    </row>
    <row r="76" spans="1:12" x14ac:dyDescent="0.25">
      <c r="A76" s="8">
        <v>78</v>
      </c>
      <c r="B76" s="8" t="s">
        <v>285</v>
      </c>
      <c r="C76" s="8" t="s">
        <v>451</v>
      </c>
      <c r="D76" s="8" t="s">
        <v>452</v>
      </c>
      <c r="E76" s="8" t="e">
        <f>COUNTIFS(zmb_admpop_adm2_2020!#REF!,'AB-ADM2'!D76)</f>
        <v>#REF!</v>
      </c>
      <c r="F76" s="8" t="s">
        <v>288</v>
      </c>
      <c r="G76" s="8" t="s">
        <v>288</v>
      </c>
      <c r="H76" s="8" t="s">
        <v>288</v>
      </c>
      <c r="I76" s="8" t="s">
        <v>445</v>
      </c>
      <c r="J76" s="8" t="s">
        <v>446</v>
      </c>
      <c r="K76" s="8" t="s">
        <v>3</v>
      </c>
      <c r="L76" s="8" t="s">
        <v>291</v>
      </c>
    </row>
    <row r="77" spans="1:12" x14ac:dyDescent="0.25">
      <c r="A77" s="8">
        <v>79</v>
      </c>
      <c r="B77" s="8" t="s">
        <v>285</v>
      </c>
      <c r="C77" s="8" t="s">
        <v>453</v>
      </c>
      <c r="D77" s="8" t="s">
        <v>454</v>
      </c>
      <c r="E77" s="8" t="e">
        <f>COUNTIFS(zmb_admpop_adm2_2020!#REF!,'AB-ADM2'!D77)</f>
        <v>#REF!</v>
      </c>
      <c r="F77" s="8" t="s">
        <v>288</v>
      </c>
      <c r="G77" s="8" t="s">
        <v>288</v>
      </c>
      <c r="H77" s="8" t="s">
        <v>288</v>
      </c>
      <c r="I77" s="8" t="s">
        <v>445</v>
      </c>
      <c r="J77" s="8" t="s">
        <v>446</v>
      </c>
      <c r="K77" s="8" t="s">
        <v>3</v>
      </c>
      <c r="L77" s="8" t="s">
        <v>291</v>
      </c>
    </row>
    <row r="78" spans="1:12" x14ac:dyDescent="0.25">
      <c r="A78" s="8">
        <v>80</v>
      </c>
      <c r="B78" s="8" t="s">
        <v>285</v>
      </c>
      <c r="C78" s="8" t="s">
        <v>455</v>
      </c>
      <c r="D78" s="8" t="s">
        <v>456</v>
      </c>
      <c r="E78" s="8" t="e">
        <f>COUNTIFS(zmb_admpop_adm2_2020!#REF!,'AB-ADM2'!D78)</f>
        <v>#REF!</v>
      </c>
      <c r="F78" s="8" t="s">
        <v>288</v>
      </c>
      <c r="G78" s="8" t="s">
        <v>288</v>
      </c>
      <c r="H78" s="8" t="s">
        <v>288</v>
      </c>
      <c r="I78" s="8" t="s">
        <v>445</v>
      </c>
      <c r="J78" s="8" t="s">
        <v>446</v>
      </c>
      <c r="K78" s="8" t="s">
        <v>3</v>
      </c>
      <c r="L78" s="8" t="s">
        <v>291</v>
      </c>
    </row>
    <row r="79" spans="1:12" x14ac:dyDescent="0.25">
      <c r="A79" s="8">
        <v>81</v>
      </c>
      <c r="B79" s="8" t="s">
        <v>285</v>
      </c>
      <c r="C79" s="8" t="s">
        <v>457</v>
      </c>
      <c r="D79" s="8" t="s">
        <v>458</v>
      </c>
      <c r="E79" s="8" t="e">
        <f>COUNTIFS(zmb_admpop_adm2_2020!#REF!,'AB-ADM2'!D79)</f>
        <v>#REF!</v>
      </c>
      <c r="F79" s="8" t="s">
        <v>288</v>
      </c>
      <c r="G79" s="8" t="s">
        <v>288</v>
      </c>
      <c r="H79" s="8" t="s">
        <v>288</v>
      </c>
      <c r="I79" s="8" t="s">
        <v>445</v>
      </c>
      <c r="J79" s="8" t="s">
        <v>446</v>
      </c>
      <c r="K79" s="8" t="s">
        <v>3</v>
      </c>
      <c r="L79" s="8" t="s">
        <v>291</v>
      </c>
    </row>
    <row r="80" spans="1:12" x14ac:dyDescent="0.25">
      <c r="A80" s="8">
        <v>83</v>
      </c>
      <c r="B80" s="8" t="s">
        <v>285</v>
      </c>
      <c r="C80" s="8" t="s">
        <v>459</v>
      </c>
      <c r="D80" s="8" t="s">
        <v>460</v>
      </c>
      <c r="E80" s="8" t="e">
        <f>COUNTIFS(zmb_admpop_adm2_2020!#REF!,'AB-ADM2'!D80)</f>
        <v>#REF!</v>
      </c>
      <c r="F80" s="8" t="s">
        <v>288</v>
      </c>
      <c r="G80" s="8" t="s">
        <v>288</v>
      </c>
      <c r="H80" s="8" t="s">
        <v>288</v>
      </c>
      <c r="I80" s="8" t="s">
        <v>445</v>
      </c>
      <c r="J80" s="8" t="s">
        <v>446</v>
      </c>
      <c r="K80" s="8" t="s">
        <v>3</v>
      </c>
      <c r="L80" s="8" t="s">
        <v>291</v>
      </c>
    </row>
    <row r="81" spans="1:12" x14ac:dyDescent="0.25">
      <c r="A81" s="8">
        <v>84</v>
      </c>
      <c r="B81" s="8" t="s">
        <v>285</v>
      </c>
      <c r="C81" s="8" t="s">
        <v>461</v>
      </c>
      <c r="D81" s="8" t="s">
        <v>462</v>
      </c>
      <c r="E81" s="8" t="e">
        <f>COUNTIFS(zmb_admpop_adm2_2020!#REF!,'AB-ADM2'!D81)</f>
        <v>#REF!</v>
      </c>
      <c r="F81" s="8" t="s">
        <v>288</v>
      </c>
      <c r="G81" s="8" t="s">
        <v>288</v>
      </c>
      <c r="H81" s="8" t="s">
        <v>288</v>
      </c>
      <c r="I81" s="8" t="s">
        <v>445</v>
      </c>
      <c r="J81" s="8" t="s">
        <v>446</v>
      </c>
      <c r="K81" s="8" t="s">
        <v>3</v>
      </c>
      <c r="L81" s="8" t="s">
        <v>291</v>
      </c>
    </row>
    <row r="82" spans="1:12" x14ac:dyDescent="0.25">
      <c r="A82" s="8">
        <v>85</v>
      </c>
      <c r="B82" s="8" t="s">
        <v>285</v>
      </c>
      <c r="C82" s="8" t="s">
        <v>463</v>
      </c>
      <c r="D82" s="8" t="s">
        <v>464</v>
      </c>
      <c r="E82" s="8" t="e">
        <f>COUNTIFS(zmb_admpop_adm2_2020!#REF!,'AB-ADM2'!D82)</f>
        <v>#REF!</v>
      </c>
      <c r="F82" s="8" t="s">
        <v>288</v>
      </c>
      <c r="G82" s="8" t="s">
        <v>288</v>
      </c>
      <c r="H82" s="8" t="s">
        <v>288</v>
      </c>
      <c r="I82" s="8" t="s">
        <v>445</v>
      </c>
      <c r="J82" s="8" t="s">
        <v>446</v>
      </c>
      <c r="K82" s="8" t="s">
        <v>3</v>
      </c>
      <c r="L82" s="8" t="s">
        <v>291</v>
      </c>
    </row>
    <row r="83" spans="1:12" x14ac:dyDescent="0.25">
      <c r="A83" s="8">
        <v>86</v>
      </c>
      <c r="B83" s="8" t="s">
        <v>285</v>
      </c>
      <c r="C83" s="8" t="s">
        <v>465</v>
      </c>
      <c r="D83" s="8" t="s">
        <v>466</v>
      </c>
      <c r="E83" s="8" t="e">
        <f>COUNTIFS(zmb_admpop_adm2_2020!#REF!,'AB-ADM2'!D83)</f>
        <v>#REF!</v>
      </c>
      <c r="F83" s="8" t="s">
        <v>288</v>
      </c>
      <c r="G83" s="8" t="s">
        <v>288</v>
      </c>
      <c r="H83" s="8" t="s">
        <v>288</v>
      </c>
      <c r="I83" s="8" t="s">
        <v>445</v>
      </c>
      <c r="J83" s="8" t="s">
        <v>446</v>
      </c>
      <c r="K83" s="8" t="s">
        <v>3</v>
      </c>
      <c r="L83" s="8" t="s">
        <v>291</v>
      </c>
    </row>
    <row r="84" spans="1:12" x14ac:dyDescent="0.25">
      <c r="A84" s="8">
        <v>87</v>
      </c>
      <c r="B84" s="8" t="s">
        <v>285</v>
      </c>
      <c r="C84" s="8" t="s">
        <v>467</v>
      </c>
      <c r="D84" s="8" t="s">
        <v>468</v>
      </c>
      <c r="E84" s="8" t="e">
        <f>COUNTIFS(zmb_admpop_adm2_2020!#REF!,'AB-ADM2'!D84)</f>
        <v>#REF!</v>
      </c>
      <c r="F84" s="8" t="s">
        <v>288</v>
      </c>
      <c r="G84" s="8" t="s">
        <v>288</v>
      </c>
      <c r="H84" s="8" t="s">
        <v>288</v>
      </c>
      <c r="I84" s="8" t="s">
        <v>469</v>
      </c>
      <c r="J84" s="8" t="s">
        <v>470</v>
      </c>
      <c r="K84" s="8" t="s">
        <v>3</v>
      </c>
      <c r="L84" s="8" t="s">
        <v>291</v>
      </c>
    </row>
    <row r="85" spans="1:12" x14ac:dyDescent="0.25">
      <c r="A85" s="8">
        <v>88</v>
      </c>
      <c r="B85" s="8" t="s">
        <v>285</v>
      </c>
      <c r="C85" s="8" t="s">
        <v>471</v>
      </c>
      <c r="D85" s="8" t="s">
        <v>472</v>
      </c>
      <c r="E85" s="8" t="e">
        <f>COUNTIFS(zmb_admpop_adm2_2020!#REF!,'AB-ADM2'!D85)</f>
        <v>#REF!</v>
      </c>
      <c r="F85" s="8" t="s">
        <v>288</v>
      </c>
      <c r="G85" s="8" t="s">
        <v>288</v>
      </c>
      <c r="H85" s="8" t="s">
        <v>288</v>
      </c>
      <c r="I85" s="8" t="s">
        <v>469</v>
      </c>
      <c r="J85" s="8" t="s">
        <v>470</v>
      </c>
      <c r="K85" s="8" t="s">
        <v>3</v>
      </c>
      <c r="L85" s="8" t="s">
        <v>291</v>
      </c>
    </row>
    <row r="86" spans="1:12" x14ac:dyDescent="0.25">
      <c r="A86" s="8">
        <v>89</v>
      </c>
      <c r="B86" s="8" t="s">
        <v>285</v>
      </c>
      <c r="C86" s="8" t="s">
        <v>473</v>
      </c>
      <c r="D86" s="8" t="s">
        <v>474</v>
      </c>
      <c r="E86" s="8" t="e">
        <f>COUNTIFS(zmb_admpop_adm2_2020!#REF!,'AB-ADM2'!D86)</f>
        <v>#REF!</v>
      </c>
      <c r="F86" s="8" t="s">
        <v>288</v>
      </c>
      <c r="G86" s="8" t="s">
        <v>288</v>
      </c>
      <c r="H86" s="8" t="s">
        <v>288</v>
      </c>
      <c r="I86" s="8" t="s">
        <v>469</v>
      </c>
      <c r="J86" s="8" t="s">
        <v>470</v>
      </c>
      <c r="K86" s="8" t="s">
        <v>3</v>
      </c>
      <c r="L86" s="8" t="s">
        <v>291</v>
      </c>
    </row>
    <row r="87" spans="1:12" x14ac:dyDescent="0.25">
      <c r="A87" s="8">
        <v>90</v>
      </c>
      <c r="B87" s="8" t="s">
        <v>285</v>
      </c>
      <c r="C87" s="8" t="s">
        <v>475</v>
      </c>
      <c r="D87" s="8" t="s">
        <v>476</v>
      </c>
      <c r="E87" s="8" t="e">
        <f>COUNTIFS(zmb_admpop_adm2_2020!#REF!,'AB-ADM2'!D87)</f>
        <v>#REF!</v>
      </c>
      <c r="F87" s="8" t="s">
        <v>288</v>
      </c>
      <c r="G87" s="8" t="s">
        <v>288</v>
      </c>
      <c r="H87" s="8" t="s">
        <v>288</v>
      </c>
      <c r="I87" s="8" t="s">
        <v>469</v>
      </c>
      <c r="J87" s="8" t="s">
        <v>470</v>
      </c>
      <c r="K87" s="8" t="s">
        <v>3</v>
      </c>
      <c r="L87" s="8" t="s">
        <v>291</v>
      </c>
    </row>
    <row r="88" spans="1:12" x14ac:dyDescent="0.25">
      <c r="A88" s="8">
        <v>91</v>
      </c>
      <c r="B88" s="8" t="s">
        <v>285</v>
      </c>
      <c r="C88" s="8" t="s">
        <v>477</v>
      </c>
      <c r="D88" s="8" t="s">
        <v>478</v>
      </c>
      <c r="E88" s="8" t="e">
        <f>COUNTIFS(zmb_admpop_adm2_2020!#REF!,'AB-ADM2'!D88)</f>
        <v>#REF!</v>
      </c>
      <c r="F88" s="8" t="s">
        <v>288</v>
      </c>
      <c r="G88" s="8" t="s">
        <v>288</v>
      </c>
      <c r="H88" s="8" t="s">
        <v>288</v>
      </c>
      <c r="I88" s="8" t="s">
        <v>469</v>
      </c>
      <c r="J88" s="8" t="s">
        <v>470</v>
      </c>
      <c r="K88" s="8" t="s">
        <v>3</v>
      </c>
      <c r="L88" s="8" t="s">
        <v>291</v>
      </c>
    </row>
    <row r="89" spans="1:12" x14ac:dyDescent="0.25">
      <c r="A89" s="8">
        <v>92</v>
      </c>
      <c r="B89" s="8" t="s">
        <v>285</v>
      </c>
      <c r="C89" s="8" t="s">
        <v>479</v>
      </c>
      <c r="D89" s="8" t="s">
        <v>480</v>
      </c>
      <c r="E89" s="8" t="e">
        <f>COUNTIFS(zmb_admpop_adm2_2020!#REF!,'AB-ADM2'!D89)</f>
        <v>#REF!</v>
      </c>
      <c r="F89" s="8" t="s">
        <v>288</v>
      </c>
      <c r="G89" s="8" t="s">
        <v>288</v>
      </c>
      <c r="H89" s="8" t="s">
        <v>288</v>
      </c>
      <c r="I89" s="8" t="s">
        <v>469</v>
      </c>
      <c r="J89" s="8" t="s">
        <v>470</v>
      </c>
      <c r="K89" s="8" t="s">
        <v>3</v>
      </c>
      <c r="L89" s="8" t="s">
        <v>291</v>
      </c>
    </row>
    <row r="90" spans="1:12" x14ac:dyDescent="0.25">
      <c r="A90" s="8">
        <v>93</v>
      </c>
      <c r="B90" s="8" t="s">
        <v>285</v>
      </c>
      <c r="C90" s="8" t="s">
        <v>481</v>
      </c>
      <c r="D90" s="8" t="s">
        <v>482</v>
      </c>
      <c r="E90" s="8" t="e">
        <f>COUNTIFS(zmb_admpop_adm2_2020!#REF!,'AB-ADM2'!D90)</f>
        <v>#REF!</v>
      </c>
      <c r="F90" s="8" t="s">
        <v>288</v>
      </c>
      <c r="G90" s="8" t="s">
        <v>288</v>
      </c>
      <c r="H90" s="8" t="s">
        <v>288</v>
      </c>
      <c r="I90" s="8" t="s">
        <v>469</v>
      </c>
      <c r="J90" s="8" t="s">
        <v>470</v>
      </c>
      <c r="K90" s="8" t="s">
        <v>3</v>
      </c>
      <c r="L90" s="8" t="s">
        <v>291</v>
      </c>
    </row>
    <row r="91" spans="1:12" x14ac:dyDescent="0.25">
      <c r="A91" s="8">
        <v>94</v>
      </c>
      <c r="B91" s="8" t="s">
        <v>285</v>
      </c>
      <c r="C91" s="8" t="s">
        <v>483</v>
      </c>
      <c r="D91" s="8" t="s">
        <v>484</v>
      </c>
      <c r="E91" s="8" t="e">
        <f>COUNTIFS(zmb_admpop_adm2_2020!#REF!,'AB-ADM2'!D91)</f>
        <v>#REF!</v>
      </c>
      <c r="F91" s="8" t="s">
        <v>288</v>
      </c>
      <c r="G91" s="8" t="s">
        <v>288</v>
      </c>
      <c r="H91" s="8" t="s">
        <v>288</v>
      </c>
      <c r="I91" s="8" t="s">
        <v>469</v>
      </c>
      <c r="J91" s="8" t="s">
        <v>470</v>
      </c>
      <c r="K91" s="8" t="s">
        <v>3</v>
      </c>
      <c r="L91" s="8" t="s">
        <v>291</v>
      </c>
    </row>
    <row r="92" spans="1:12" x14ac:dyDescent="0.25">
      <c r="A92" s="8">
        <v>95</v>
      </c>
      <c r="B92" s="8" t="s">
        <v>285</v>
      </c>
      <c r="C92" s="8" t="s">
        <v>485</v>
      </c>
      <c r="D92" s="8" t="s">
        <v>486</v>
      </c>
      <c r="E92" s="8" t="e">
        <f>COUNTIFS(zmb_admpop_adm2_2020!#REF!,'AB-ADM2'!D92)</f>
        <v>#REF!</v>
      </c>
      <c r="F92" s="8" t="s">
        <v>288</v>
      </c>
      <c r="G92" s="8" t="s">
        <v>288</v>
      </c>
      <c r="H92" s="8" t="s">
        <v>288</v>
      </c>
      <c r="I92" s="8" t="s">
        <v>469</v>
      </c>
      <c r="J92" s="8" t="s">
        <v>470</v>
      </c>
      <c r="K92" s="8" t="s">
        <v>3</v>
      </c>
      <c r="L92" s="8" t="s">
        <v>291</v>
      </c>
    </row>
    <row r="93" spans="1:12" x14ac:dyDescent="0.25">
      <c r="A93" s="8">
        <v>96</v>
      </c>
      <c r="B93" s="8" t="s">
        <v>285</v>
      </c>
      <c r="C93" s="8" t="s">
        <v>487</v>
      </c>
      <c r="D93" s="8" t="s">
        <v>488</v>
      </c>
      <c r="E93" s="8" t="e">
        <f>COUNTIFS(zmb_admpop_adm2_2020!#REF!,'AB-ADM2'!D93)</f>
        <v>#REF!</v>
      </c>
      <c r="F93" s="8" t="s">
        <v>288</v>
      </c>
      <c r="G93" s="8" t="s">
        <v>288</v>
      </c>
      <c r="H93" s="8" t="s">
        <v>288</v>
      </c>
      <c r="I93" s="8" t="s">
        <v>469</v>
      </c>
      <c r="J93" s="8" t="s">
        <v>470</v>
      </c>
      <c r="K93" s="8" t="s">
        <v>3</v>
      </c>
      <c r="L93" s="8" t="s">
        <v>291</v>
      </c>
    </row>
    <row r="94" spans="1:12" x14ac:dyDescent="0.25">
      <c r="A94" s="8">
        <v>97</v>
      </c>
      <c r="B94" s="8" t="s">
        <v>285</v>
      </c>
      <c r="C94" s="8" t="s">
        <v>489</v>
      </c>
      <c r="D94" s="8" t="s">
        <v>490</v>
      </c>
      <c r="E94" s="8" t="e">
        <f>COUNTIFS(zmb_admpop_adm2_2020!#REF!,'AB-ADM2'!D94)</f>
        <v>#REF!</v>
      </c>
      <c r="F94" s="8" t="s">
        <v>288</v>
      </c>
      <c r="G94" s="8" t="s">
        <v>288</v>
      </c>
      <c r="H94" s="8" t="s">
        <v>288</v>
      </c>
      <c r="I94" s="8" t="s">
        <v>469</v>
      </c>
      <c r="J94" s="8" t="s">
        <v>470</v>
      </c>
      <c r="K94" s="8" t="s">
        <v>3</v>
      </c>
      <c r="L94" s="8" t="s">
        <v>291</v>
      </c>
    </row>
    <row r="95" spans="1:12" x14ac:dyDescent="0.25">
      <c r="A95" s="8">
        <v>98</v>
      </c>
      <c r="B95" s="8" t="s">
        <v>285</v>
      </c>
      <c r="C95" s="8" t="s">
        <v>491</v>
      </c>
      <c r="D95" s="8" t="s">
        <v>492</v>
      </c>
      <c r="E95" s="8" t="e">
        <f>COUNTIFS(zmb_admpop_adm2_2020!#REF!,'AB-ADM2'!D95)</f>
        <v>#REF!</v>
      </c>
      <c r="F95" s="8" t="s">
        <v>288</v>
      </c>
      <c r="G95" s="8" t="s">
        <v>288</v>
      </c>
      <c r="H95" s="8" t="s">
        <v>288</v>
      </c>
      <c r="I95" s="8" t="s">
        <v>469</v>
      </c>
      <c r="J95" s="8" t="s">
        <v>470</v>
      </c>
      <c r="K95" s="8" t="s">
        <v>3</v>
      </c>
      <c r="L95" s="8" t="s">
        <v>291</v>
      </c>
    </row>
    <row r="96" spans="1:12" x14ac:dyDescent="0.25">
      <c r="A96" s="8">
        <v>99</v>
      </c>
      <c r="B96" s="8" t="s">
        <v>285</v>
      </c>
      <c r="C96" s="8" t="s">
        <v>493</v>
      </c>
      <c r="D96" s="8" t="s">
        <v>494</v>
      </c>
      <c r="E96" s="8" t="e">
        <f>COUNTIFS(zmb_admpop_adm2_2020!#REF!,'AB-ADM2'!D96)</f>
        <v>#REF!</v>
      </c>
      <c r="F96" s="8" t="s">
        <v>288</v>
      </c>
      <c r="G96" s="8" t="s">
        <v>288</v>
      </c>
      <c r="H96" s="8" t="s">
        <v>288</v>
      </c>
      <c r="I96" s="8" t="s">
        <v>469</v>
      </c>
      <c r="J96" s="8" t="s">
        <v>470</v>
      </c>
      <c r="K96" s="8" t="s">
        <v>3</v>
      </c>
      <c r="L96" s="8" t="s">
        <v>291</v>
      </c>
    </row>
    <row r="97" spans="1:12" x14ac:dyDescent="0.25">
      <c r="A97" s="8">
        <v>100</v>
      </c>
      <c r="B97" s="8" t="s">
        <v>285</v>
      </c>
      <c r="C97" s="8" t="s">
        <v>495</v>
      </c>
      <c r="D97" s="8" t="s">
        <v>496</v>
      </c>
      <c r="E97" s="8" t="e">
        <f>COUNTIFS(zmb_admpop_adm2_2020!#REF!,'AB-ADM2'!D97)</f>
        <v>#REF!</v>
      </c>
      <c r="F97" s="8" t="s">
        <v>288</v>
      </c>
      <c r="G97" s="8" t="s">
        <v>288</v>
      </c>
      <c r="H97" s="8" t="s">
        <v>288</v>
      </c>
      <c r="I97" s="8" t="s">
        <v>497</v>
      </c>
      <c r="J97" s="8" t="s">
        <v>498</v>
      </c>
      <c r="K97" s="8" t="s">
        <v>3</v>
      </c>
      <c r="L97" s="8" t="s">
        <v>291</v>
      </c>
    </row>
    <row r="98" spans="1:12" x14ac:dyDescent="0.25">
      <c r="A98" s="8">
        <v>101</v>
      </c>
      <c r="B98" s="8" t="s">
        <v>285</v>
      </c>
      <c r="C98" s="8" t="s">
        <v>499</v>
      </c>
      <c r="D98" s="8" t="s">
        <v>500</v>
      </c>
      <c r="E98" s="8" t="e">
        <f>COUNTIFS(zmb_admpop_adm2_2020!#REF!,'AB-ADM2'!D98)</f>
        <v>#REF!</v>
      </c>
      <c r="F98" s="8" t="s">
        <v>288</v>
      </c>
      <c r="G98" s="8" t="s">
        <v>288</v>
      </c>
      <c r="H98" s="8" t="s">
        <v>288</v>
      </c>
      <c r="I98" s="8" t="s">
        <v>497</v>
      </c>
      <c r="J98" s="8" t="s">
        <v>498</v>
      </c>
      <c r="K98" s="8" t="s">
        <v>3</v>
      </c>
      <c r="L98" s="8" t="s">
        <v>291</v>
      </c>
    </row>
    <row r="99" spans="1:12" x14ac:dyDescent="0.25">
      <c r="A99" s="8">
        <v>102</v>
      </c>
      <c r="B99" s="8" t="s">
        <v>285</v>
      </c>
      <c r="C99" s="8" t="s">
        <v>501</v>
      </c>
      <c r="D99" s="8" t="s">
        <v>502</v>
      </c>
      <c r="E99" s="8" t="e">
        <f>COUNTIFS(zmb_admpop_adm2_2020!#REF!,'AB-ADM2'!D99)</f>
        <v>#REF!</v>
      </c>
      <c r="F99" s="8" t="s">
        <v>288</v>
      </c>
      <c r="G99" s="8" t="s">
        <v>288</v>
      </c>
      <c r="H99" s="8" t="s">
        <v>288</v>
      </c>
      <c r="I99" s="8" t="s">
        <v>497</v>
      </c>
      <c r="J99" s="8" t="s">
        <v>498</v>
      </c>
      <c r="K99" s="8" t="s">
        <v>3</v>
      </c>
      <c r="L99" s="8" t="s">
        <v>291</v>
      </c>
    </row>
    <row r="100" spans="1:12" x14ac:dyDescent="0.25">
      <c r="A100" s="8">
        <v>103</v>
      </c>
      <c r="B100" s="8" t="s">
        <v>285</v>
      </c>
      <c r="C100" s="8" t="s">
        <v>503</v>
      </c>
      <c r="D100" s="8" t="s">
        <v>504</v>
      </c>
      <c r="E100" s="8" t="e">
        <f>COUNTIFS(zmb_admpop_adm2_2020!#REF!,'AB-ADM2'!D100)</f>
        <v>#REF!</v>
      </c>
      <c r="F100" s="8" t="s">
        <v>288</v>
      </c>
      <c r="G100" s="8" t="s">
        <v>288</v>
      </c>
      <c r="H100" s="8" t="s">
        <v>288</v>
      </c>
      <c r="I100" s="8" t="s">
        <v>497</v>
      </c>
      <c r="J100" s="8" t="s">
        <v>498</v>
      </c>
      <c r="K100" s="8" t="s">
        <v>3</v>
      </c>
      <c r="L100" s="8" t="s">
        <v>291</v>
      </c>
    </row>
    <row r="101" spans="1:12" x14ac:dyDescent="0.25">
      <c r="A101" s="8">
        <v>104</v>
      </c>
      <c r="B101" s="8" t="s">
        <v>285</v>
      </c>
      <c r="C101" s="8" t="s">
        <v>505</v>
      </c>
      <c r="D101" s="8" t="s">
        <v>506</v>
      </c>
      <c r="E101" s="8" t="e">
        <f>COUNTIFS(zmb_admpop_adm2_2020!#REF!,'AB-ADM2'!D101)</f>
        <v>#REF!</v>
      </c>
      <c r="F101" s="8" t="s">
        <v>288</v>
      </c>
      <c r="G101" s="8" t="s">
        <v>288</v>
      </c>
      <c r="H101" s="8" t="s">
        <v>288</v>
      </c>
      <c r="I101" s="8" t="s">
        <v>497</v>
      </c>
      <c r="J101" s="8" t="s">
        <v>498</v>
      </c>
      <c r="K101" s="8" t="s">
        <v>3</v>
      </c>
      <c r="L101" s="8" t="s">
        <v>291</v>
      </c>
    </row>
    <row r="102" spans="1:12" x14ac:dyDescent="0.25">
      <c r="A102" s="8">
        <v>105</v>
      </c>
      <c r="B102" s="8" t="s">
        <v>285</v>
      </c>
      <c r="C102" s="8" t="s">
        <v>507</v>
      </c>
      <c r="D102" s="8" t="s">
        <v>508</v>
      </c>
      <c r="E102" s="8" t="e">
        <f>COUNTIFS(zmb_admpop_adm2_2020!#REF!,'AB-ADM2'!D102)</f>
        <v>#REF!</v>
      </c>
      <c r="F102" s="8" t="s">
        <v>288</v>
      </c>
      <c r="G102" s="8" t="s">
        <v>288</v>
      </c>
      <c r="H102" s="8" t="s">
        <v>288</v>
      </c>
      <c r="I102" s="8" t="s">
        <v>497</v>
      </c>
      <c r="J102" s="8" t="s">
        <v>498</v>
      </c>
      <c r="K102" s="8" t="s">
        <v>3</v>
      </c>
      <c r="L102" s="8" t="s">
        <v>291</v>
      </c>
    </row>
    <row r="103" spans="1:12" x14ac:dyDescent="0.25">
      <c r="A103" s="8">
        <v>106</v>
      </c>
      <c r="B103" s="8" t="s">
        <v>285</v>
      </c>
      <c r="C103" s="8" t="s">
        <v>509</v>
      </c>
      <c r="D103" s="8" t="s">
        <v>510</v>
      </c>
      <c r="E103" s="8" t="e">
        <f>COUNTIFS(zmb_admpop_adm2_2020!#REF!,'AB-ADM2'!D103)</f>
        <v>#REF!</v>
      </c>
      <c r="F103" s="8" t="s">
        <v>288</v>
      </c>
      <c r="G103" s="8" t="s">
        <v>288</v>
      </c>
      <c r="H103" s="8" t="s">
        <v>288</v>
      </c>
      <c r="I103" s="8" t="s">
        <v>497</v>
      </c>
      <c r="J103" s="8" t="s">
        <v>498</v>
      </c>
      <c r="K103" s="8" t="s">
        <v>3</v>
      </c>
      <c r="L103" s="8" t="s">
        <v>291</v>
      </c>
    </row>
    <row r="104" spans="1:12" x14ac:dyDescent="0.25">
      <c r="A104" s="8">
        <v>107</v>
      </c>
      <c r="B104" s="8" t="s">
        <v>285</v>
      </c>
      <c r="C104" s="8" t="s">
        <v>511</v>
      </c>
      <c r="D104" s="8" t="s">
        <v>512</v>
      </c>
      <c r="E104" s="8" t="e">
        <f>COUNTIFS(zmb_admpop_adm2_2020!#REF!,'AB-ADM2'!D104)</f>
        <v>#REF!</v>
      </c>
      <c r="F104" s="8" t="s">
        <v>288</v>
      </c>
      <c r="G104" s="8" t="s">
        <v>288</v>
      </c>
      <c r="H104" s="8" t="s">
        <v>288</v>
      </c>
      <c r="I104" s="8" t="s">
        <v>497</v>
      </c>
      <c r="J104" s="8" t="s">
        <v>498</v>
      </c>
      <c r="K104" s="8" t="s">
        <v>3</v>
      </c>
      <c r="L104" s="8" t="s">
        <v>291</v>
      </c>
    </row>
    <row r="105" spans="1:12" x14ac:dyDescent="0.25">
      <c r="A105" s="8">
        <v>108</v>
      </c>
      <c r="B105" s="8" t="s">
        <v>285</v>
      </c>
      <c r="C105" s="8" t="s">
        <v>513</v>
      </c>
      <c r="D105" s="8" t="s">
        <v>514</v>
      </c>
      <c r="E105" s="8" t="e">
        <f>COUNTIFS(zmb_admpop_adm2_2020!#REF!,'AB-ADM2'!D105)</f>
        <v>#REF!</v>
      </c>
      <c r="F105" s="8" t="s">
        <v>288</v>
      </c>
      <c r="G105" s="8" t="s">
        <v>288</v>
      </c>
      <c r="H105" s="8" t="s">
        <v>288</v>
      </c>
      <c r="I105" s="8" t="s">
        <v>497</v>
      </c>
      <c r="J105" s="8" t="s">
        <v>498</v>
      </c>
      <c r="K105" s="8" t="s">
        <v>3</v>
      </c>
      <c r="L105" s="8" t="s">
        <v>291</v>
      </c>
    </row>
    <row r="106" spans="1:12" x14ac:dyDescent="0.25">
      <c r="A106" s="8">
        <v>109</v>
      </c>
      <c r="B106" s="8" t="s">
        <v>285</v>
      </c>
      <c r="C106" s="8" t="s">
        <v>515</v>
      </c>
      <c r="D106" s="8" t="s">
        <v>516</v>
      </c>
      <c r="E106" s="8" t="e">
        <f>COUNTIFS(zmb_admpop_adm2_2020!#REF!,'AB-ADM2'!D106)</f>
        <v>#REF!</v>
      </c>
      <c r="F106" s="8" t="s">
        <v>288</v>
      </c>
      <c r="G106" s="8" t="s">
        <v>288</v>
      </c>
      <c r="H106" s="8" t="s">
        <v>288</v>
      </c>
      <c r="I106" s="8" t="s">
        <v>497</v>
      </c>
      <c r="J106" s="8" t="s">
        <v>498</v>
      </c>
      <c r="K106" s="8" t="s">
        <v>3</v>
      </c>
      <c r="L106" s="8" t="s">
        <v>291</v>
      </c>
    </row>
    <row r="107" spans="1:12" x14ac:dyDescent="0.25">
      <c r="A107" s="8">
        <v>110</v>
      </c>
      <c r="B107" s="8" t="s">
        <v>285</v>
      </c>
      <c r="C107" s="8" t="s">
        <v>517</v>
      </c>
      <c r="D107" s="8" t="s">
        <v>518</v>
      </c>
      <c r="E107" s="8" t="e">
        <f>COUNTIFS(zmb_admpop_adm2_2020!#REF!,'AB-ADM2'!D107)</f>
        <v>#REF!</v>
      </c>
      <c r="F107" s="8" t="s">
        <v>288</v>
      </c>
      <c r="G107" s="8" t="s">
        <v>288</v>
      </c>
      <c r="H107" s="8" t="s">
        <v>288</v>
      </c>
      <c r="I107" s="8" t="s">
        <v>497</v>
      </c>
      <c r="J107" s="8" t="s">
        <v>498</v>
      </c>
      <c r="K107" s="8" t="s">
        <v>3</v>
      </c>
      <c r="L107" s="8" t="s">
        <v>291</v>
      </c>
    </row>
    <row r="108" spans="1:12" x14ac:dyDescent="0.25">
      <c r="A108" s="8">
        <v>111</v>
      </c>
      <c r="B108" s="8" t="s">
        <v>285</v>
      </c>
      <c r="C108" s="8" t="s">
        <v>519</v>
      </c>
      <c r="D108" s="8" t="s">
        <v>520</v>
      </c>
      <c r="E108" s="8" t="e">
        <f>COUNTIFS(zmb_admpop_adm2_2020!#REF!,'AB-ADM2'!D108)</f>
        <v>#REF!</v>
      </c>
      <c r="F108" s="8" t="s">
        <v>288</v>
      </c>
      <c r="G108" s="8" t="s">
        <v>288</v>
      </c>
      <c r="H108" s="8" t="s">
        <v>288</v>
      </c>
      <c r="I108" s="8" t="s">
        <v>497</v>
      </c>
      <c r="J108" s="8" t="s">
        <v>498</v>
      </c>
      <c r="K108" s="8" t="s">
        <v>3</v>
      </c>
      <c r="L108" s="8" t="s">
        <v>291</v>
      </c>
    </row>
    <row r="109" spans="1:12" x14ac:dyDescent="0.25">
      <c r="A109" s="8">
        <v>112</v>
      </c>
      <c r="B109" s="8" t="s">
        <v>285</v>
      </c>
      <c r="C109" s="8" t="s">
        <v>521</v>
      </c>
      <c r="D109" s="8" t="s">
        <v>522</v>
      </c>
      <c r="E109" s="8" t="e">
        <f>COUNTIFS(zmb_admpop_adm2_2020!#REF!,'AB-ADM2'!D109)</f>
        <v>#REF!</v>
      </c>
      <c r="F109" s="8" t="s">
        <v>288</v>
      </c>
      <c r="G109" s="8" t="s">
        <v>288</v>
      </c>
      <c r="H109" s="8" t="s">
        <v>288</v>
      </c>
      <c r="I109" s="8" t="s">
        <v>497</v>
      </c>
      <c r="J109" s="8" t="s">
        <v>498</v>
      </c>
      <c r="K109" s="8" t="s">
        <v>3</v>
      </c>
      <c r="L109" s="8" t="s">
        <v>291</v>
      </c>
    </row>
    <row r="110" spans="1:12" x14ac:dyDescent="0.25">
      <c r="A110" s="8">
        <v>113</v>
      </c>
      <c r="B110" s="8" t="s">
        <v>285</v>
      </c>
      <c r="C110" s="8" t="s">
        <v>523</v>
      </c>
      <c r="D110" s="8" t="s">
        <v>524</v>
      </c>
      <c r="E110" s="8" t="e">
        <f>COUNTIFS(zmb_admpop_adm2_2020!#REF!,'AB-ADM2'!D110)</f>
        <v>#REF!</v>
      </c>
      <c r="F110" s="8" t="s">
        <v>525</v>
      </c>
      <c r="G110" s="8" t="s">
        <v>288</v>
      </c>
      <c r="H110" s="8" t="s">
        <v>288</v>
      </c>
      <c r="I110" s="8" t="s">
        <v>497</v>
      </c>
      <c r="J110" s="8" t="s">
        <v>498</v>
      </c>
      <c r="K110" s="8" t="s">
        <v>3</v>
      </c>
      <c r="L110" s="8" t="s">
        <v>291</v>
      </c>
    </row>
    <row r="111" spans="1:12" x14ac:dyDescent="0.25">
      <c r="A111" s="8">
        <v>114</v>
      </c>
      <c r="B111" s="8" t="s">
        <v>285</v>
      </c>
      <c r="C111" s="8" t="s">
        <v>526</v>
      </c>
      <c r="D111" s="8" t="s">
        <v>527</v>
      </c>
      <c r="E111" s="8" t="e">
        <f>COUNTIFS(zmb_admpop_adm2_2020!#REF!,'AB-ADM2'!D111)</f>
        <v>#REF!</v>
      </c>
      <c r="F111" s="8" t="s">
        <v>288</v>
      </c>
      <c r="G111" s="8" t="s">
        <v>288</v>
      </c>
      <c r="H111" s="8" t="s">
        <v>288</v>
      </c>
      <c r="I111" s="8" t="s">
        <v>497</v>
      </c>
      <c r="J111" s="8" t="s">
        <v>498</v>
      </c>
      <c r="K111" s="8" t="s">
        <v>3</v>
      </c>
      <c r="L111" s="8" t="s">
        <v>291</v>
      </c>
    </row>
    <row r="112" spans="1:12" x14ac:dyDescent="0.25">
      <c r="A112" s="8">
        <v>115</v>
      </c>
      <c r="B112" s="8" t="s">
        <v>285</v>
      </c>
      <c r="C112" s="8" t="s">
        <v>528</v>
      </c>
      <c r="D112" s="8" t="s">
        <v>529</v>
      </c>
      <c r="E112" s="8" t="e">
        <f>COUNTIFS(zmb_admpop_adm2_2020!#REF!,'AB-ADM2'!D112)</f>
        <v>#REF!</v>
      </c>
      <c r="F112" s="8" t="s">
        <v>288</v>
      </c>
      <c r="G112" s="8" t="s">
        <v>288</v>
      </c>
      <c r="H112" s="8" t="s">
        <v>288</v>
      </c>
      <c r="I112" s="8" t="s">
        <v>497</v>
      </c>
      <c r="J112" s="8" t="s">
        <v>498</v>
      </c>
      <c r="K112" s="8" t="s">
        <v>3</v>
      </c>
      <c r="L112" s="8" t="s">
        <v>291</v>
      </c>
    </row>
    <row r="113" spans="1:12" x14ac:dyDescent="0.25">
      <c r="A113" s="8">
        <v>118</v>
      </c>
      <c r="B113" s="8" t="s">
        <v>285</v>
      </c>
      <c r="C113" s="8" t="s">
        <v>530</v>
      </c>
      <c r="D113" s="8" t="s">
        <v>531</v>
      </c>
      <c r="E113" s="8" t="e">
        <f>COUNTIFS(zmb_admpop_adm2_2020!#REF!,'AB-ADM2'!D113)</f>
        <v>#REF!</v>
      </c>
      <c r="F113" s="8" t="s">
        <v>288</v>
      </c>
      <c r="G113" s="8" t="s">
        <v>288</v>
      </c>
      <c r="H113" s="8" t="s">
        <v>288</v>
      </c>
      <c r="I113" s="8" t="s">
        <v>289</v>
      </c>
      <c r="J113" s="8" t="s">
        <v>290</v>
      </c>
      <c r="K113" s="8" t="s">
        <v>3</v>
      </c>
      <c r="L113" s="8" t="s">
        <v>291</v>
      </c>
    </row>
    <row r="114" spans="1:12" x14ac:dyDescent="0.25">
      <c r="A114" s="8">
        <v>120</v>
      </c>
      <c r="B114" s="8" t="s">
        <v>285</v>
      </c>
      <c r="C114" s="8" t="s">
        <v>532</v>
      </c>
      <c r="D114" s="8" t="s">
        <v>533</v>
      </c>
      <c r="E114" s="8" t="e">
        <f>COUNTIFS(zmb_admpop_adm2_2020!#REF!,'AB-ADM2'!D114)</f>
        <v>#REF!</v>
      </c>
      <c r="F114" s="8" t="s">
        <v>288</v>
      </c>
      <c r="G114" s="8" t="s">
        <v>288</v>
      </c>
      <c r="H114" s="8" t="s">
        <v>288</v>
      </c>
      <c r="I114" s="8" t="s">
        <v>362</v>
      </c>
      <c r="J114" s="8" t="s">
        <v>363</v>
      </c>
      <c r="K114" s="8" t="s">
        <v>3</v>
      </c>
      <c r="L114" s="8" t="s">
        <v>291</v>
      </c>
    </row>
    <row r="115" spans="1:12" x14ac:dyDescent="0.25">
      <c r="A115" s="8">
        <v>123</v>
      </c>
      <c r="B115" s="8" t="s">
        <v>285</v>
      </c>
      <c r="C115" s="8" t="s">
        <v>534</v>
      </c>
      <c r="D115" s="8" t="s">
        <v>535</v>
      </c>
      <c r="E115" s="8" t="e">
        <f>COUNTIFS(zmb_admpop_adm2_2020!#REF!,'AB-ADM2'!D115)</f>
        <v>#REF!</v>
      </c>
      <c r="F115" s="8" t="s">
        <v>536</v>
      </c>
      <c r="G115" s="8" t="s">
        <v>288</v>
      </c>
      <c r="H115" s="8" t="s">
        <v>288</v>
      </c>
      <c r="I115" s="8" t="s">
        <v>403</v>
      </c>
      <c r="J115" s="8" t="s">
        <v>404</v>
      </c>
      <c r="K115" s="8" t="s">
        <v>3</v>
      </c>
      <c r="L115" s="8" t="s">
        <v>291</v>
      </c>
    </row>
    <row r="116" spans="1:12" x14ac:dyDescent="0.25">
      <c r="A116" s="8">
        <v>125</v>
      </c>
      <c r="B116" s="8" t="s">
        <v>285</v>
      </c>
      <c r="C116" s="8" t="s">
        <v>537</v>
      </c>
      <c r="D116" s="8" t="s">
        <v>538</v>
      </c>
      <c r="E116" s="8" t="e">
        <f>COUNTIFS(zmb_admpop_adm2_2020!#REF!,'AB-ADM2'!D116)</f>
        <v>#REF!</v>
      </c>
      <c r="F116" s="8" t="s">
        <v>288</v>
      </c>
      <c r="G116" s="8" t="s">
        <v>288</v>
      </c>
      <c r="H116" s="8" t="s">
        <v>288</v>
      </c>
      <c r="I116" s="8" t="s">
        <v>445</v>
      </c>
      <c r="J116" s="8" t="s">
        <v>446</v>
      </c>
      <c r="K116" s="8" t="s">
        <v>3</v>
      </c>
      <c r="L116" s="8" t="s">
        <v>291</v>
      </c>
    </row>
    <row r="117" spans="1:12" x14ac:dyDescent="0.25">
      <c r="E117" s="8" t="e">
        <f>COUNTIFS(zmb_admpop_adm2_2020!#REF!,'AB-ADM2'!D117)</f>
        <v>#REF!</v>
      </c>
    </row>
    <row r="118" spans="1:12" x14ac:dyDescent="0.25">
      <c r="E118" s="8" t="e">
        <f>COUNTIFS(zmb_admpop_adm2_2020!#REF!,'AB-ADM2'!D118)</f>
        <v>#REF!</v>
      </c>
    </row>
    <row r="119" spans="1:12" x14ac:dyDescent="0.25">
      <c r="E119" s="8" t="e">
        <f>COUNTIFS(zmb_admpop_adm2_2020!#REF!,'AB-ADM2'!D119)</f>
        <v>#REF!</v>
      </c>
    </row>
    <row r="120" spans="1:12" x14ac:dyDescent="0.25">
      <c r="E120" s="8" t="e">
        <f>COUNTIFS(zmb_admpop_adm2_2020!#REF!,'AB-ADM2'!D120)</f>
        <v>#REF!</v>
      </c>
    </row>
    <row r="121" spans="1:12" x14ac:dyDescent="0.25">
      <c r="E121" s="8" t="e">
        <f>COUNTIFS(zmb_admpop_adm2_2020!#REF!,'AB-ADM2'!D121)</f>
        <v>#REF!</v>
      </c>
    </row>
    <row r="122" spans="1:12" x14ac:dyDescent="0.25">
      <c r="E122" s="8" t="e">
        <f>COUNTIFS(zmb_admpop_adm2_2020!#REF!,'AB-ADM2'!D122)</f>
        <v>#REF!</v>
      </c>
    </row>
    <row r="123" spans="1:12" x14ac:dyDescent="0.25">
      <c r="E123" s="8" t="e">
        <f>COUNTIFS(zmb_admpop_adm2_2020!#REF!,'AB-ADM2'!D123)</f>
        <v>#REF!</v>
      </c>
    </row>
    <row r="124" spans="1:12" x14ac:dyDescent="0.25">
      <c r="E124" s="8" t="e">
        <f>COUNTIFS(zmb_admpop_adm2_2020!#REF!,'AB-ADM2'!D124)</f>
        <v>#REF!</v>
      </c>
    </row>
    <row r="125" spans="1:12" x14ac:dyDescent="0.25">
      <c r="E125" s="8" t="e">
        <f>COUNTIFS(zmb_admpop_adm2_2020!#REF!,'AB-ADM2'!D125)</f>
        <v>#REF!</v>
      </c>
    </row>
    <row r="126" spans="1:12" x14ac:dyDescent="0.25">
      <c r="E126" s="8" t="e">
        <f>COUNTIFS(zmb_admpop_adm2_2020!#REF!,'AB-ADM2'!D126)</f>
        <v>#REF!</v>
      </c>
    </row>
    <row r="127" spans="1:12" x14ac:dyDescent="0.25">
      <c r="E127" s="8" t="e">
        <f>COUNTIFS(zmb_admpop_adm2_2020!#REF!,'AB-ADM2'!D127)</f>
        <v>#REF!</v>
      </c>
    </row>
    <row r="128" spans="1:12" x14ac:dyDescent="0.25">
      <c r="E128" s="8" t="e">
        <f>COUNTIFS(zmb_admpop_adm2_2020!#REF!,'AB-ADM2'!D128)</f>
        <v>#REF!</v>
      </c>
    </row>
    <row r="129" spans="5:5" x14ac:dyDescent="0.25">
      <c r="E129" s="8" t="e">
        <f>COUNTIFS(zmb_admpop_adm2_2020!#REF!,'AB-ADM2'!D129)</f>
        <v>#REF!</v>
      </c>
    </row>
    <row r="130" spans="5:5" x14ac:dyDescent="0.25">
      <c r="E130" s="8" t="e">
        <f>COUNTIFS(zmb_admpop_adm2_2020!#REF!,'AB-ADM2'!D130)</f>
        <v>#REF!</v>
      </c>
    </row>
    <row r="131" spans="5:5" x14ac:dyDescent="0.25">
      <c r="E131" s="8" t="e">
        <f>COUNTIFS(zmb_admpop_adm2_2020!#REF!,'AB-ADM2'!D131)</f>
        <v>#REF!</v>
      </c>
    </row>
    <row r="132" spans="5:5" x14ac:dyDescent="0.25">
      <c r="E132" s="8" t="e">
        <f>COUNTIFS(zmb_admpop_adm2_2020!#REF!,'AB-ADM2'!D132)</f>
        <v>#REF!</v>
      </c>
    </row>
    <row r="133" spans="5:5" x14ac:dyDescent="0.25">
      <c r="E133" s="8" t="e">
        <f>COUNTIFS(zmb_admpop_adm2_2020!#REF!,'AB-ADM2'!D133)</f>
        <v>#REF!</v>
      </c>
    </row>
    <row r="134" spans="5:5" x14ac:dyDescent="0.25">
      <c r="E134" s="8" t="e">
        <f>COUNTIFS(zmb_admpop_adm2_2020!#REF!,'AB-ADM2'!D134)</f>
        <v>#REF!</v>
      </c>
    </row>
    <row r="135" spans="5:5" x14ac:dyDescent="0.25">
      <c r="E135" s="8" t="e">
        <f>COUNTIFS(zmb_admpop_adm2_2020!#REF!,'AB-ADM2'!D135)</f>
        <v>#REF!</v>
      </c>
    </row>
    <row r="136" spans="5:5" x14ac:dyDescent="0.25">
      <c r="E136" s="8" t="e">
        <f>COUNTIFS(zmb_admpop_adm2_2020!#REF!,'AB-ADM2'!D136)</f>
        <v>#REF!</v>
      </c>
    </row>
    <row r="137" spans="5:5" x14ac:dyDescent="0.25">
      <c r="E137" s="8" t="e">
        <f>COUNTIFS(zmb_admpop_adm2_2020!#REF!,'AB-ADM2'!D137)</f>
        <v>#REF!</v>
      </c>
    </row>
    <row r="138" spans="5:5" x14ac:dyDescent="0.25">
      <c r="E138" s="8" t="e">
        <f>COUNTIFS(zmb_admpop_adm2_2020!#REF!,'AB-ADM2'!D138)</f>
        <v>#REF!</v>
      </c>
    </row>
    <row r="139" spans="5:5" x14ac:dyDescent="0.25">
      <c r="E139" s="8" t="e">
        <f>COUNTIFS(zmb_admpop_adm2_2020!#REF!,'AB-ADM2'!D139)</f>
        <v>#REF!</v>
      </c>
    </row>
    <row r="140" spans="5:5" x14ac:dyDescent="0.25">
      <c r="E140" s="8" t="e">
        <f>COUNTIFS(zmb_admpop_adm2_2020!#REF!,'AB-ADM2'!D140)</f>
        <v>#REF!</v>
      </c>
    </row>
    <row r="141" spans="5:5" x14ac:dyDescent="0.25">
      <c r="E141" s="8" t="e">
        <f>COUNTIFS(zmb_admpop_adm2_2020!#REF!,'AB-ADM2'!D141)</f>
        <v>#REF!</v>
      </c>
    </row>
    <row r="142" spans="5:5" x14ac:dyDescent="0.25">
      <c r="E142" s="8" t="e">
        <f>COUNTIFS(zmb_admpop_adm2_2020!#REF!,'AB-ADM2'!D142)</f>
        <v>#REF!</v>
      </c>
    </row>
    <row r="143" spans="5:5" x14ac:dyDescent="0.25">
      <c r="E143" s="8" t="e">
        <f>COUNTIFS(zmb_admpop_adm2_2020!#REF!,'AB-ADM2'!D143)</f>
        <v>#REF!</v>
      </c>
    </row>
    <row r="144" spans="5:5" x14ac:dyDescent="0.25">
      <c r="E144" s="8" t="e">
        <f>COUNTIFS(zmb_admpop_adm2_2020!#REF!,'AB-ADM2'!D144)</f>
        <v>#REF!</v>
      </c>
    </row>
    <row r="145" spans="5:5" x14ac:dyDescent="0.25">
      <c r="E145" s="8" t="e">
        <f>COUNTIFS(zmb_admpop_adm2_2020!#REF!,'AB-ADM2'!D145)</f>
        <v>#REF!</v>
      </c>
    </row>
    <row r="146" spans="5:5" x14ac:dyDescent="0.25">
      <c r="E146" s="8" t="e">
        <f>COUNTIFS(zmb_admpop_adm2_2020!#REF!,'AB-ADM2'!D146)</f>
        <v>#REF!</v>
      </c>
    </row>
    <row r="147" spans="5:5" x14ac:dyDescent="0.25">
      <c r="E147" s="8" t="e">
        <f>COUNTIFS(zmb_admpop_adm2_2020!#REF!,'AB-ADM2'!D147)</f>
        <v>#REF!</v>
      </c>
    </row>
    <row r="148" spans="5:5" x14ac:dyDescent="0.25">
      <c r="E148" s="8" t="e">
        <f>COUNTIFS(zmb_admpop_adm2_2020!#REF!,'AB-ADM2'!D148)</f>
        <v>#REF!</v>
      </c>
    </row>
    <row r="149" spans="5:5" x14ac:dyDescent="0.25">
      <c r="E149" s="8" t="e">
        <f>COUNTIFS(zmb_admpop_adm2_2020!#REF!,'AB-ADM2'!D149)</f>
        <v>#REF!</v>
      </c>
    </row>
    <row r="150" spans="5:5" x14ac:dyDescent="0.25">
      <c r="E150" s="8" t="e">
        <f>COUNTIFS(zmb_admpop_adm2_2020!#REF!,'AB-ADM2'!D150)</f>
        <v>#REF!</v>
      </c>
    </row>
    <row r="151" spans="5:5" x14ac:dyDescent="0.25">
      <c r="E151" s="8" t="e">
        <f>COUNTIFS(zmb_admpop_adm2_2020!#REF!,'AB-ADM2'!D151)</f>
        <v>#REF!</v>
      </c>
    </row>
    <row r="152" spans="5:5" x14ac:dyDescent="0.25">
      <c r="E152" s="8" t="e">
        <f>COUNTIFS(zmb_admpop_adm2_2020!#REF!,'AB-ADM2'!D152)</f>
        <v>#REF!</v>
      </c>
    </row>
    <row r="153" spans="5:5" x14ac:dyDescent="0.25">
      <c r="E153" s="8" t="e">
        <f>COUNTIFS(zmb_admpop_adm2_2020!#REF!,'AB-ADM2'!D153)</f>
        <v>#REF!</v>
      </c>
    </row>
    <row r="154" spans="5:5" x14ac:dyDescent="0.25">
      <c r="E154" s="8" t="e">
        <f>COUNTIFS(zmb_admpop_adm2_2020!#REF!,'AB-ADM2'!D154)</f>
        <v>#REF!</v>
      </c>
    </row>
    <row r="155" spans="5:5" x14ac:dyDescent="0.25">
      <c r="E155" s="8" t="e">
        <f>COUNTIFS(zmb_admpop_adm2_2020!#REF!,'AB-ADM2'!D155)</f>
        <v>#REF!</v>
      </c>
    </row>
    <row r="156" spans="5:5" x14ac:dyDescent="0.25">
      <c r="E156" s="8" t="e">
        <f>COUNTIFS(zmb_admpop_adm2_2020!#REF!,'AB-ADM2'!D156)</f>
        <v>#REF!</v>
      </c>
    </row>
    <row r="157" spans="5:5" x14ac:dyDescent="0.25">
      <c r="E157" s="8" t="e">
        <f>COUNTIFS(zmb_admpop_adm2_2020!#REF!,'AB-ADM2'!D157)</f>
        <v>#REF!</v>
      </c>
    </row>
    <row r="158" spans="5:5" x14ac:dyDescent="0.25">
      <c r="E158" s="8" t="e">
        <f>COUNTIFS(zmb_admpop_adm2_2020!#REF!,'AB-ADM2'!D158)</f>
        <v>#REF!</v>
      </c>
    </row>
    <row r="159" spans="5:5" x14ac:dyDescent="0.25">
      <c r="E159" s="8" t="e">
        <f>COUNTIFS(zmb_admpop_adm2_2020!#REF!,'AB-ADM2'!D159)</f>
        <v>#REF!</v>
      </c>
    </row>
    <row r="160" spans="5:5" x14ac:dyDescent="0.25">
      <c r="E160" s="8" t="e">
        <f>COUNTIFS(zmb_admpop_adm2_2020!#REF!,'AB-ADM2'!D160)</f>
        <v>#REF!</v>
      </c>
    </row>
    <row r="161" spans="5:5" x14ac:dyDescent="0.25">
      <c r="E161" s="8" t="e">
        <f>COUNTIFS(zmb_admpop_adm2_2020!#REF!,'AB-ADM2'!D161)</f>
        <v>#REF!</v>
      </c>
    </row>
    <row r="162" spans="5:5" x14ac:dyDescent="0.25">
      <c r="E162" s="8" t="e">
        <f>COUNTIFS(zmb_admpop_adm2_2020!#REF!,'AB-ADM2'!D162)</f>
        <v>#REF!</v>
      </c>
    </row>
    <row r="163" spans="5:5" x14ac:dyDescent="0.25">
      <c r="E163" s="8" t="e">
        <f>COUNTIFS(zmb_admpop_adm2_2020!#REF!,'AB-ADM2'!D163)</f>
        <v>#REF!</v>
      </c>
    </row>
    <row r="164" spans="5:5" x14ac:dyDescent="0.25">
      <c r="E164" s="8" t="e">
        <f>COUNTIFS(zmb_admpop_adm2_2020!#REF!,'AB-ADM2'!D164)</f>
        <v>#REF!</v>
      </c>
    </row>
    <row r="165" spans="5:5" x14ac:dyDescent="0.25">
      <c r="E165" s="8" t="e">
        <f>COUNTIFS(zmb_admpop_adm2_2020!#REF!,'AB-ADM2'!D165)</f>
        <v>#REF!</v>
      </c>
    </row>
    <row r="166" spans="5:5" x14ac:dyDescent="0.25">
      <c r="E166" s="8" t="e">
        <f>COUNTIFS(zmb_admpop_adm2_2020!#REF!,'AB-ADM2'!D166)</f>
        <v>#REF!</v>
      </c>
    </row>
    <row r="167" spans="5:5" x14ac:dyDescent="0.25">
      <c r="E167" s="8" t="e">
        <f>COUNTIFS(zmb_admpop_adm2_2020!#REF!,'AB-ADM2'!D167)</f>
        <v>#REF!</v>
      </c>
    </row>
    <row r="168" spans="5:5" x14ac:dyDescent="0.25">
      <c r="E168" s="8" t="e">
        <f>COUNTIFS(zmb_admpop_adm2_2020!#REF!,'AB-ADM2'!D168)</f>
        <v>#REF!</v>
      </c>
    </row>
    <row r="169" spans="5:5" x14ac:dyDescent="0.25">
      <c r="E169" s="8" t="e">
        <f>COUNTIFS(zmb_admpop_adm2_2020!#REF!,'AB-ADM2'!D169)</f>
        <v>#REF!</v>
      </c>
    </row>
    <row r="170" spans="5:5" x14ac:dyDescent="0.25">
      <c r="E170" s="8" t="e">
        <f>COUNTIFS(zmb_admpop_adm2_2020!#REF!,'AB-ADM2'!D170)</f>
        <v>#REF!</v>
      </c>
    </row>
    <row r="171" spans="5:5" x14ac:dyDescent="0.25">
      <c r="E171" s="8" t="e">
        <f>COUNTIFS(zmb_admpop_adm2_2020!#REF!,'AB-ADM2'!D171)</f>
        <v>#REF!</v>
      </c>
    </row>
    <row r="172" spans="5:5" x14ac:dyDescent="0.25">
      <c r="E172" s="8" t="e">
        <f>COUNTIFS(zmb_admpop_adm2_2020!#REF!,'AB-ADM2'!D172)</f>
        <v>#REF!</v>
      </c>
    </row>
    <row r="173" spans="5:5" x14ac:dyDescent="0.25">
      <c r="E173" s="8" t="e">
        <f>COUNTIFS(zmb_admpop_adm2_2020!#REF!,'AB-ADM2'!D173)</f>
        <v>#REF!</v>
      </c>
    </row>
    <row r="174" spans="5:5" x14ac:dyDescent="0.25">
      <c r="E174" s="8" t="e">
        <f>COUNTIFS(zmb_admpop_adm2_2020!#REF!,'AB-ADM2'!D174)</f>
        <v>#REF!</v>
      </c>
    </row>
    <row r="175" spans="5:5" x14ac:dyDescent="0.25">
      <c r="E175" s="8" t="e">
        <f>COUNTIFS(zmb_admpop_adm2_2020!#REF!,'AB-ADM2'!D175)</f>
        <v>#REF!</v>
      </c>
    </row>
    <row r="176" spans="5:5" x14ac:dyDescent="0.25">
      <c r="E176" s="8" t="e">
        <f>COUNTIFS(zmb_admpop_adm2_2020!#REF!,'AB-ADM2'!D176)</f>
        <v>#REF!</v>
      </c>
    </row>
    <row r="177" spans="5:5" x14ac:dyDescent="0.25">
      <c r="E177" s="8" t="e">
        <f>COUNTIFS(zmb_admpop_adm2_2020!#REF!,'AB-ADM2'!D177)</f>
        <v>#REF!</v>
      </c>
    </row>
    <row r="178" spans="5:5" x14ac:dyDescent="0.25">
      <c r="E178" s="8" t="e">
        <f>COUNTIFS(zmb_admpop_adm2_2020!#REF!,'AB-ADM2'!D178)</f>
        <v>#REF!</v>
      </c>
    </row>
    <row r="179" spans="5:5" x14ac:dyDescent="0.25">
      <c r="E179" s="8" t="e">
        <f>COUNTIFS(zmb_admpop_adm2_2020!#REF!,'AB-ADM2'!D179)</f>
        <v>#REF!</v>
      </c>
    </row>
    <row r="180" spans="5:5" x14ac:dyDescent="0.25">
      <c r="E180" s="8" t="e">
        <f>COUNTIFS(zmb_admpop_adm2_2020!#REF!,'AB-ADM2'!D180)</f>
        <v>#REF!</v>
      </c>
    </row>
    <row r="181" spans="5:5" x14ac:dyDescent="0.25">
      <c r="E181" s="8" t="e">
        <f>COUNTIFS(zmb_admpop_adm2_2020!#REF!,'AB-ADM2'!D181)</f>
        <v>#REF!</v>
      </c>
    </row>
    <row r="182" spans="5:5" x14ac:dyDescent="0.25">
      <c r="E182" s="8" t="e">
        <f>COUNTIFS(zmb_admpop_adm2_2020!#REF!,'AB-ADM2'!D182)</f>
        <v>#REF!</v>
      </c>
    </row>
    <row r="183" spans="5:5" x14ac:dyDescent="0.25">
      <c r="E183" s="8" t="e">
        <f>COUNTIFS(zmb_admpop_adm2_2020!#REF!,'AB-ADM2'!D183)</f>
        <v>#REF!</v>
      </c>
    </row>
    <row r="184" spans="5:5" x14ac:dyDescent="0.25">
      <c r="E184" s="8" t="e">
        <f>COUNTIFS(zmb_admpop_adm2_2020!#REF!,'AB-ADM2'!D184)</f>
        <v>#REF!</v>
      </c>
    </row>
    <row r="185" spans="5:5" x14ac:dyDescent="0.25">
      <c r="E185" s="8" t="e">
        <f>COUNTIFS(zmb_admpop_adm2_2020!#REF!,'AB-ADM2'!D185)</f>
        <v>#REF!</v>
      </c>
    </row>
    <row r="186" spans="5:5" x14ac:dyDescent="0.25">
      <c r="E186" s="8" t="e">
        <f>COUNTIFS(zmb_admpop_adm2_2020!#REF!,'AB-ADM2'!D186)</f>
        <v>#REF!</v>
      </c>
    </row>
    <row r="187" spans="5:5" x14ac:dyDescent="0.25">
      <c r="E187" s="8" t="e">
        <f>COUNTIFS(zmb_admpop_adm2_2020!#REF!,'AB-ADM2'!D187)</f>
        <v>#REF!</v>
      </c>
    </row>
    <row r="188" spans="5:5" x14ac:dyDescent="0.25">
      <c r="E188" s="8" t="e">
        <f>COUNTIFS(zmb_admpop_adm2_2020!#REF!,'AB-ADM2'!D188)</f>
        <v>#REF!</v>
      </c>
    </row>
    <row r="189" spans="5:5" x14ac:dyDescent="0.25">
      <c r="E189" s="8" t="e">
        <f>COUNTIFS(zmb_admpop_adm2_2020!#REF!,'AB-ADM2'!D189)</f>
        <v>#REF!</v>
      </c>
    </row>
    <row r="190" spans="5:5" x14ac:dyDescent="0.25">
      <c r="E190" s="8" t="e">
        <f>COUNTIFS(zmb_admpop_adm2_2020!#REF!,'AB-ADM2'!D190)</f>
        <v>#REF!</v>
      </c>
    </row>
    <row r="191" spans="5:5" x14ac:dyDescent="0.25">
      <c r="E191" s="8" t="e">
        <f>COUNTIFS(zmb_admpop_adm2_2020!#REF!,'AB-ADM2'!D191)</f>
        <v>#REF!</v>
      </c>
    </row>
    <row r="192" spans="5:5" x14ac:dyDescent="0.25">
      <c r="E192" s="8" t="e">
        <f>COUNTIFS(zmb_admpop_adm2_2020!#REF!,'AB-ADM2'!D192)</f>
        <v>#REF!</v>
      </c>
    </row>
    <row r="193" spans="5:5" x14ac:dyDescent="0.25">
      <c r="E193" s="8" t="e">
        <f>COUNTIFS(zmb_admpop_adm2_2020!#REF!,'AB-ADM2'!D193)</f>
        <v>#REF!</v>
      </c>
    </row>
    <row r="194" spans="5:5" x14ac:dyDescent="0.25">
      <c r="E194" s="8" t="e">
        <f>COUNTIFS(zmb_admpop_adm2_2020!#REF!,'AB-ADM2'!D194)</f>
        <v>#REF!</v>
      </c>
    </row>
    <row r="195" spans="5:5" x14ac:dyDescent="0.25">
      <c r="E195" s="8" t="e">
        <f>COUNTIFS(zmb_admpop_adm2_2020!#REF!,'AB-ADM2'!D195)</f>
        <v>#REF!</v>
      </c>
    </row>
    <row r="196" spans="5:5" x14ac:dyDescent="0.25">
      <c r="E196" s="8" t="e">
        <f>COUNTIFS(zmb_admpop_adm2_2020!#REF!,'AB-ADM2'!D196)</f>
        <v>#REF!</v>
      </c>
    </row>
    <row r="197" spans="5:5" x14ac:dyDescent="0.25">
      <c r="E197" s="8" t="e">
        <f>COUNTIFS(zmb_admpop_adm2_2020!#REF!,'AB-ADM2'!D197)</f>
        <v>#REF!</v>
      </c>
    </row>
    <row r="198" spans="5:5" x14ac:dyDescent="0.25">
      <c r="E198" s="8" t="e">
        <f>COUNTIFS(zmb_admpop_adm2_2020!#REF!,'AB-ADM2'!D198)</f>
        <v>#REF!</v>
      </c>
    </row>
    <row r="199" spans="5:5" x14ac:dyDescent="0.25">
      <c r="E199" s="8" t="e">
        <f>COUNTIFS(zmb_admpop_adm2_2020!#REF!,'AB-ADM2'!D199)</f>
        <v>#REF!</v>
      </c>
    </row>
    <row r="200" spans="5:5" x14ac:dyDescent="0.25">
      <c r="E200" s="8" t="e">
        <f>COUNTIFS(zmb_admpop_adm2_2020!#REF!,'AB-ADM2'!D200)</f>
        <v>#REF!</v>
      </c>
    </row>
    <row r="201" spans="5:5" x14ac:dyDescent="0.25">
      <c r="E201" s="8" t="e">
        <f>COUNTIFS(zmb_admpop_adm2_2020!#REF!,'AB-ADM2'!D201)</f>
        <v>#REF!</v>
      </c>
    </row>
    <row r="202" spans="5:5" x14ac:dyDescent="0.25">
      <c r="E202" s="8" t="e">
        <f>COUNTIFS(zmb_admpop_adm2_2020!#REF!,'AB-ADM2'!D202)</f>
        <v>#REF!</v>
      </c>
    </row>
    <row r="203" spans="5:5" x14ac:dyDescent="0.25">
      <c r="E203" s="8" t="e">
        <f>COUNTIFS(zmb_admpop_adm2_2020!#REF!,'AB-ADM2'!D203)</f>
        <v>#REF!</v>
      </c>
    </row>
    <row r="204" spans="5:5" x14ac:dyDescent="0.25">
      <c r="E204" s="8" t="e">
        <f>COUNTIFS(zmb_admpop_adm2_2020!#REF!,'AB-ADM2'!D204)</f>
        <v>#REF!</v>
      </c>
    </row>
    <row r="205" spans="5:5" x14ac:dyDescent="0.25">
      <c r="E205" s="8" t="e">
        <f>COUNTIFS(zmb_admpop_adm2_2020!#REF!,'AB-ADM2'!D205)</f>
        <v>#REF!</v>
      </c>
    </row>
    <row r="206" spans="5:5" x14ac:dyDescent="0.25">
      <c r="E206" s="8" t="e">
        <f>COUNTIFS(zmb_admpop_adm2_2020!#REF!,'AB-ADM2'!D206)</f>
        <v>#REF!</v>
      </c>
    </row>
    <row r="207" spans="5:5" x14ac:dyDescent="0.25">
      <c r="E207" s="8" t="e">
        <f>COUNTIFS(zmb_admpop_adm2_2020!#REF!,'AB-ADM2'!D207)</f>
        <v>#REF!</v>
      </c>
    </row>
    <row r="208" spans="5:5" x14ac:dyDescent="0.25">
      <c r="E208" s="8" t="e">
        <f>COUNTIFS(zmb_admpop_adm2_2020!#REF!,'AB-ADM2'!D208)</f>
        <v>#REF!</v>
      </c>
    </row>
    <row r="209" spans="5:5" x14ac:dyDescent="0.25">
      <c r="E209" s="8" t="e">
        <f>COUNTIFS(zmb_admpop_adm2_2020!#REF!,'AB-ADM2'!D209)</f>
        <v>#REF!</v>
      </c>
    </row>
    <row r="210" spans="5:5" x14ac:dyDescent="0.25">
      <c r="E210" s="8" t="e">
        <f>COUNTIFS(zmb_admpop_adm2_2020!#REF!,'AB-ADM2'!D210)</f>
        <v>#REF!</v>
      </c>
    </row>
    <row r="211" spans="5:5" x14ac:dyDescent="0.25">
      <c r="E211" s="8" t="e">
        <f>COUNTIFS(zmb_admpop_adm2_2020!#REF!,'AB-ADM2'!D211)</f>
        <v>#REF!</v>
      </c>
    </row>
    <row r="212" spans="5:5" x14ac:dyDescent="0.25">
      <c r="E212" s="8" t="e">
        <f>COUNTIFS(zmb_admpop_adm2_2020!#REF!,'AB-ADM2'!D212)</f>
        <v>#REF!</v>
      </c>
    </row>
    <row r="213" spans="5:5" x14ac:dyDescent="0.25">
      <c r="E213" s="8" t="e">
        <f>COUNTIFS(zmb_admpop_adm2_2020!#REF!,'AB-ADM2'!D213)</f>
        <v>#REF!</v>
      </c>
    </row>
    <row r="214" spans="5:5" x14ac:dyDescent="0.25">
      <c r="E214" s="8" t="e">
        <f>COUNTIFS(zmb_admpop_adm2_2020!#REF!,'AB-ADM2'!D214)</f>
        <v>#REF!</v>
      </c>
    </row>
    <row r="215" spans="5:5" x14ac:dyDescent="0.25">
      <c r="E215" s="8" t="e">
        <f>COUNTIFS(zmb_admpop_adm2_2020!#REF!,'AB-ADM2'!D215)</f>
        <v>#REF!</v>
      </c>
    </row>
    <row r="216" spans="5:5" x14ac:dyDescent="0.25">
      <c r="E216" s="8" t="e">
        <f>COUNTIFS(zmb_admpop_adm2_2020!#REF!,'AB-ADM2'!D216)</f>
        <v>#REF!</v>
      </c>
    </row>
    <row r="217" spans="5:5" x14ac:dyDescent="0.25">
      <c r="E217" s="8" t="e">
        <f>COUNTIFS(zmb_admpop_adm2_2020!#REF!,'AB-ADM2'!D217)</f>
        <v>#REF!</v>
      </c>
    </row>
    <row r="218" spans="5:5" x14ac:dyDescent="0.25">
      <c r="E218" s="8" t="e">
        <f>COUNTIFS(zmb_admpop_adm2_2020!#REF!,'AB-ADM2'!D218)</f>
        <v>#REF!</v>
      </c>
    </row>
    <row r="219" spans="5:5" x14ac:dyDescent="0.25">
      <c r="E219" s="8" t="e">
        <f>COUNTIFS(zmb_admpop_adm2_2020!#REF!,'AB-ADM2'!D219)</f>
        <v>#REF!</v>
      </c>
    </row>
    <row r="220" spans="5:5" x14ac:dyDescent="0.25">
      <c r="E220" s="8" t="e">
        <f>COUNTIFS(zmb_admpop_adm2_2020!#REF!,'AB-ADM2'!D220)</f>
        <v>#REF!</v>
      </c>
    </row>
    <row r="221" spans="5:5" x14ac:dyDescent="0.25">
      <c r="E221" s="8" t="e">
        <f>COUNTIFS(zmb_admpop_adm2_2020!#REF!,'AB-ADM2'!D221)</f>
        <v>#REF!</v>
      </c>
    </row>
    <row r="222" spans="5:5" x14ac:dyDescent="0.25">
      <c r="E222" s="8" t="e">
        <f>COUNTIFS(zmb_admpop_adm2_2020!#REF!,'AB-ADM2'!D222)</f>
        <v>#REF!</v>
      </c>
    </row>
    <row r="223" spans="5:5" x14ac:dyDescent="0.25">
      <c r="E223" s="8" t="e">
        <f>COUNTIFS(zmb_admpop_adm2_2020!#REF!,'AB-ADM2'!D223)</f>
        <v>#REF!</v>
      </c>
    </row>
    <row r="224" spans="5:5" x14ac:dyDescent="0.25">
      <c r="E224" s="8" t="e">
        <f>COUNTIFS(zmb_admpop_adm2_2020!#REF!,'AB-ADM2'!D224)</f>
        <v>#REF!</v>
      </c>
    </row>
    <row r="225" spans="5:5" x14ac:dyDescent="0.25">
      <c r="E225" s="8" t="e">
        <f>COUNTIFS(zmb_admpop_adm2_2020!#REF!,'AB-ADM2'!D225)</f>
        <v>#REF!</v>
      </c>
    </row>
    <row r="226" spans="5:5" x14ac:dyDescent="0.25">
      <c r="E226" s="8" t="e">
        <f>COUNTIFS(zmb_admpop_adm2_2020!#REF!,'AB-ADM2'!D226)</f>
        <v>#REF!</v>
      </c>
    </row>
    <row r="227" spans="5:5" x14ac:dyDescent="0.25">
      <c r="E227" s="8" t="e">
        <f>COUNTIFS(zmb_admpop_adm2_2020!#REF!,'AB-ADM2'!D227)</f>
        <v>#REF!</v>
      </c>
    </row>
    <row r="228" spans="5:5" x14ac:dyDescent="0.25">
      <c r="E228" s="8" t="e">
        <f>COUNTIFS(zmb_admpop_adm2_2020!#REF!,'AB-ADM2'!D228)</f>
        <v>#REF!</v>
      </c>
    </row>
    <row r="229" spans="5:5" x14ac:dyDescent="0.25">
      <c r="E229" s="8" t="e">
        <f>COUNTIFS(zmb_admpop_adm2_2020!#REF!,'AB-ADM2'!D229)</f>
        <v>#REF!</v>
      </c>
    </row>
    <row r="230" spans="5:5" x14ac:dyDescent="0.25">
      <c r="E230" s="8" t="e">
        <f>COUNTIFS(zmb_admpop_adm2_2020!#REF!,'AB-ADM2'!D230)</f>
        <v>#REF!</v>
      </c>
    </row>
    <row r="231" spans="5:5" x14ac:dyDescent="0.25">
      <c r="E231" s="8" t="e">
        <f>COUNTIFS(zmb_admpop_adm2_2020!#REF!,'AB-ADM2'!D231)</f>
        <v>#REF!</v>
      </c>
    </row>
    <row r="232" spans="5:5" x14ac:dyDescent="0.25">
      <c r="E232" s="8" t="e">
        <f>COUNTIFS(zmb_admpop_adm2_2020!#REF!,'AB-ADM2'!D232)</f>
        <v>#REF!</v>
      </c>
    </row>
    <row r="233" spans="5:5" x14ac:dyDescent="0.25">
      <c r="E233" s="8" t="e">
        <f>COUNTIFS(zmb_admpop_adm2_2020!#REF!,'AB-ADM2'!D233)</f>
        <v>#REF!</v>
      </c>
    </row>
    <row r="234" spans="5:5" x14ac:dyDescent="0.25">
      <c r="E234" s="8" t="e">
        <f>COUNTIFS(zmb_admpop_adm2_2020!#REF!,'AB-ADM2'!D234)</f>
        <v>#REF!</v>
      </c>
    </row>
    <row r="235" spans="5:5" x14ac:dyDescent="0.25">
      <c r="E235" s="8" t="e">
        <f>COUNTIFS(zmb_admpop_adm2_2020!#REF!,'AB-ADM2'!D235)</f>
        <v>#REF!</v>
      </c>
    </row>
    <row r="236" spans="5:5" x14ac:dyDescent="0.25">
      <c r="E236" s="8" t="e">
        <f>COUNTIFS(zmb_admpop_adm2_2020!#REF!,'AB-ADM2'!D236)</f>
        <v>#REF!</v>
      </c>
    </row>
    <row r="237" spans="5:5" x14ac:dyDescent="0.25">
      <c r="E237" s="8" t="e">
        <f>COUNTIFS(zmb_admpop_adm2_2020!#REF!,'AB-ADM2'!D237)</f>
        <v>#REF!</v>
      </c>
    </row>
    <row r="238" spans="5:5" x14ac:dyDescent="0.25">
      <c r="E238" s="8" t="e">
        <f>COUNTIFS(zmb_admpop_adm2_2020!#REF!,'AB-ADM2'!D238)</f>
        <v>#REF!</v>
      </c>
    </row>
    <row r="239" spans="5:5" x14ac:dyDescent="0.25">
      <c r="E239" s="8" t="e">
        <f>COUNTIFS(zmb_admpop_adm2_2020!#REF!,'AB-ADM2'!D239)</f>
        <v>#REF!</v>
      </c>
    </row>
    <row r="240" spans="5:5" x14ac:dyDescent="0.25">
      <c r="E240" s="8" t="e">
        <f>COUNTIFS(zmb_admpop_adm2_2020!#REF!,'AB-ADM2'!D240)</f>
        <v>#REF!</v>
      </c>
    </row>
    <row r="241" spans="5:5" x14ac:dyDescent="0.25">
      <c r="E241" s="8" t="e">
        <f>COUNTIFS(zmb_admpop_adm2_2020!#REF!,'AB-ADM2'!D241)</f>
        <v>#REF!</v>
      </c>
    </row>
    <row r="242" spans="5:5" x14ac:dyDescent="0.25">
      <c r="E242" s="8" t="e">
        <f>COUNTIFS(zmb_admpop_adm2_2020!#REF!,'AB-ADM2'!D242)</f>
        <v>#REF!</v>
      </c>
    </row>
    <row r="243" spans="5:5" x14ac:dyDescent="0.25">
      <c r="E243" s="8" t="e">
        <f>COUNTIFS(zmb_admpop_adm2_2020!#REF!,'AB-ADM2'!D243)</f>
        <v>#REF!</v>
      </c>
    </row>
    <row r="244" spans="5:5" x14ac:dyDescent="0.25">
      <c r="E244" s="8" t="e">
        <f>COUNTIFS(zmb_admpop_adm2_2020!#REF!,'AB-ADM2'!D244)</f>
        <v>#REF!</v>
      </c>
    </row>
    <row r="245" spans="5:5" x14ac:dyDescent="0.25">
      <c r="E245" s="8" t="e">
        <f>COUNTIFS(zmb_admpop_adm2_2020!#REF!,'AB-ADM2'!D245)</f>
        <v>#REF!</v>
      </c>
    </row>
    <row r="246" spans="5:5" x14ac:dyDescent="0.25">
      <c r="E246" s="8" t="e">
        <f>COUNTIFS(zmb_admpop_adm2_2020!#REF!,'AB-ADM2'!D246)</f>
        <v>#REF!</v>
      </c>
    </row>
    <row r="247" spans="5:5" x14ac:dyDescent="0.25">
      <c r="E247" s="8" t="e">
        <f>COUNTIFS(zmb_admpop_adm2_2020!#REF!,'AB-ADM2'!D247)</f>
        <v>#REF!</v>
      </c>
    </row>
    <row r="248" spans="5:5" x14ac:dyDescent="0.25">
      <c r="E248" s="8" t="e">
        <f>COUNTIFS(zmb_admpop_adm2_2020!#REF!,'AB-ADM2'!D248)</f>
        <v>#REF!</v>
      </c>
    </row>
    <row r="249" spans="5:5" x14ac:dyDescent="0.25">
      <c r="E249" s="8" t="e">
        <f>COUNTIFS(zmb_admpop_adm2_2020!#REF!,'AB-ADM2'!D249)</f>
        <v>#REF!</v>
      </c>
    </row>
    <row r="250" spans="5:5" x14ac:dyDescent="0.25">
      <c r="E250" s="8" t="e">
        <f>COUNTIFS(zmb_admpop_adm2_2020!#REF!,'AB-ADM2'!D250)</f>
        <v>#REF!</v>
      </c>
    </row>
    <row r="251" spans="5:5" x14ac:dyDescent="0.25">
      <c r="E251" s="8" t="e">
        <f>COUNTIFS(zmb_admpop_adm2_2020!#REF!,'AB-ADM2'!D251)</f>
        <v>#REF!</v>
      </c>
    </row>
    <row r="252" spans="5:5" x14ac:dyDescent="0.25">
      <c r="E252" s="8" t="e">
        <f>COUNTIFS(zmb_admpop_adm2_2020!#REF!,'AB-ADM2'!D252)</f>
        <v>#REF!</v>
      </c>
    </row>
    <row r="253" spans="5:5" x14ac:dyDescent="0.25">
      <c r="E253" s="8" t="e">
        <f>COUNTIFS(zmb_admpop_adm2_2020!#REF!,'AB-ADM2'!D253)</f>
        <v>#REF!</v>
      </c>
    </row>
    <row r="254" spans="5:5" x14ac:dyDescent="0.25">
      <c r="E254" s="8" t="e">
        <f>COUNTIFS(zmb_admpop_adm2_2020!#REF!,'AB-ADM2'!D254)</f>
        <v>#REF!</v>
      </c>
    </row>
    <row r="255" spans="5:5" x14ac:dyDescent="0.25">
      <c r="E255" s="8" t="e">
        <f>COUNTIFS(zmb_admpop_adm2_2020!#REF!,'AB-ADM2'!D255)</f>
        <v>#REF!</v>
      </c>
    </row>
    <row r="256" spans="5:5" x14ac:dyDescent="0.25">
      <c r="E256" s="8" t="e">
        <f>COUNTIFS(zmb_admpop_adm2_2020!#REF!,'AB-ADM2'!D256)</f>
        <v>#REF!</v>
      </c>
    </row>
    <row r="257" spans="5:5" x14ac:dyDescent="0.25">
      <c r="E257" s="8" t="e">
        <f>COUNTIFS(zmb_admpop_adm2_2020!#REF!,'AB-ADM2'!D257)</f>
        <v>#REF!</v>
      </c>
    </row>
    <row r="258" spans="5:5" x14ac:dyDescent="0.25">
      <c r="E258" s="8" t="e">
        <f>COUNTIFS(zmb_admpop_adm2_2020!#REF!,'AB-ADM2'!D258)</f>
        <v>#REF!</v>
      </c>
    </row>
    <row r="259" spans="5:5" x14ac:dyDescent="0.25">
      <c r="E259" s="8" t="e">
        <f>COUNTIFS(zmb_admpop_adm2_2020!#REF!,'AB-ADM2'!D259)</f>
        <v>#REF!</v>
      </c>
    </row>
    <row r="260" spans="5:5" x14ac:dyDescent="0.25">
      <c r="E260" s="8" t="e">
        <f>COUNTIFS(zmb_admpop_adm2_2020!#REF!,'AB-ADM2'!D260)</f>
        <v>#REF!</v>
      </c>
    </row>
    <row r="261" spans="5:5" x14ac:dyDescent="0.25">
      <c r="E261" s="8" t="e">
        <f>COUNTIFS(zmb_admpop_adm2_2020!#REF!,'AB-ADM2'!D261)</f>
        <v>#REF!</v>
      </c>
    </row>
    <row r="262" spans="5:5" x14ac:dyDescent="0.25">
      <c r="E262" s="8" t="e">
        <f>COUNTIFS(zmb_admpop_adm2_2020!#REF!,'AB-ADM2'!D262)</f>
        <v>#REF!</v>
      </c>
    </row>
    <row r="263" spans="5:5" x14ac:dyDescent="0.25">
      <c r="E263" s="8" t="e">
        <f>COUNTIFS(zmb_admpop_adm2_2020!#REF!,'AB-ADM2'!D263)</f>
        <v>#REF!</v>
      </c>
    </row>
    <row r="264" spans="5:5" x14ac:dyDescent="0.25">
      <c r="E264" s="8" t="e">
        <f>COUNTIFS(zmb_admpop_adm2_2020!#REF!,'AB-ADM2'!D264)</f>
        <v>#REF!</v>
      </c>
    </row>
    <row r="265" spans="5:5" x14ac:dyDescent="0.25">
      <c r="E265" s="8" t="e">
        <f>COUNTIFS(zmb_admpop_adm2_2020!#REF!,'AB-ADM2'!D265)</f>
        <v>#REF!</v>
      </c>
    </row>
    <row r="266" spans="5:5" x14ac:dyDescent="0.25">
      <c r="E266" s="8" t="e">
        <f>COUNTIFS(zmb_admpop_adm2_2020!#REF!,'AB-ADM2'!D266)</f>
        <v>#REF!</v>
      </c>
    </row>
    <row r="267" spans="5:5" x14ac:dyDescent="0.25">
      <c r="E267" s="8" t="e">
        <f>COUNTIFS(zmb_admpop_adm2_2020!#REF!,'AB-ADM2'!D267)</f>
        <v>#REF!</v>
      </c>
    </row>
    <row r="268" spans="5:5" x14ac:dyDescent="0.25">
      <c r="E268" s="8" t="e">
        <f>COUNTIFS(zmb_admpop_adm2_2020!#REF!,'AB-ADM2'!D268)</f>
        <v>#REF!</v>
      </c>
    </row>
    <row r="269" spans="5:5" x14ac:dyDescent="0.25">
      <c r="E269" s="8" t="e">
        <f>COUNTIFS(zmb_admpop_adm2_2020!#REF!,'AB-ADM2'!D269)</f>
        <v>#REF!</v>
      </c>
    </row>
    <row r="270" spans="5:5" x14ac:dyDescent="0.25">
      <c r="E270" s="8" t="e">
        <f>COUNTIFS(zmb_admpop_adm2_2020!#REF!,'AB-ADM2'!D270)</f>
        <v>#REF!</v>
      </c>
    </row>
    <row r="271" spans="5:5" x14ac:dyDescent="0.25">
      <c r="E271" s="8" t="e">
        <f>COUNTIFS(zmb_admpop_adm2_2020!#REF!,'AB-ADM2'!D271)</f>
        <v>#REF!</v>
      </c>
    </row>
    <row r="272" spans="5:5" x14ac:dyDescent="0.25">
      <c r="E272" s="8" t="e">
        <f>COUNTIFS(zmb_admpop_adm2_2020!#REF!,'AB-ADM2'!D272)</f>
        <v>#REF!</v>
      </c>
    </row>
    <row r="273" spans="5:5" x14ac:dyDescent="0.25">
      <c r="E273" s="8" t="e">
        <f>COUNTIFS(zmb_admpop_adm2_2020!#REF!,'AB-ADM2'!D273)</f>
        <v>#REF!</v>
      </c>
    </row>
    <row r="274" spans="5:5" x14ac:dyDescent="0.25">
      <c r="E274" s="8" t="e">
        <f>COUNTIFS(zmb_admpop_adm2_2020!#REF!,'AB-ADM2'!D274)</f>
        <v>#REF!</v>
      </c>
    </row>
    <row r="275" spans="5:5" x14ac:dyDescent="0.25">
      <c r="E275" s="8" t="e">
        <f>COUNTIFS(zmb_admpop_adm2_2020!#REF!,'AB-ADM2'!D275)</f>
        <v>#REF!</v>
      </c>
    </row>
    <row r="276" spans="5:5" x14ac:dyDescent="0.25">
      <c r="E276" s="8" t="e">
        <f>COUNTIFS(zmb_admpop_adm2_2020!#REF!,'AB-ADM2'!D276)</f>
        <v>#REF!</v>
      </c>
    </row>
    <row r="277" spans="5:5" x14ac:dyDescent="0.25">
      <c r="E277" s="8" t="e">
        <f>COUNTIFS(zmb_admpop_adm2_2020!#REF!,'AB-ADM2'!D277)</f>
        <v>#REF!</v>
      </c>
    </row>
    <row r="278" spans="5:5" x14ac:dyDescent="0.25">
      <c r="E278" s="8" t="e">
        <f>COUNTIFS(zmb_admpop_adm2_2020!#REF!,'AB-ADM2'!D278)</f>
        <v>#REF!</v>
      </c>
    </row>
    <row r="279" spans="5:5" x14ac:dyDescent="0.25">
      <c r="E279" s="8" t="e">
        <f>COUNTIFS(zmb_admpop_adm2_2020!#REF!,'AB-ADM2'!D279)</f>
        <v>#REF!</v>
      </c>
    </row>
    <row r="280" spans="5:5" x14ac:dyDescent="0.25">
      <c r="E280" s="8" t="e">
        <f>COUNTIFS(zmb_admpop_adm2_2020!#REF!,'AB-ADM2'!D280)</f>
        <v>#REF!</v>
      </c>
    </row>
    <row r="281" spans="5:5" x14ac:dyDescent="0.25">
      <c r="E281" s="8" t="e">
        <f>COUNTIFS(zmb_admpop_adm2_2020!#REF!,'AB-ADM2'!D281)</f>
        <v>#REF!</v>
      </c>
    </row>
    <row r="282" spans="5:5" x14ac:dyDescent="0.25">
      <c r="E282" s="8" t="e">
        <f>COUNTIFS(zmb_admpop_adm2_2020!#REF!,'AB-ADM2'!D282)</f>
        <v>#REF!</v>
      </c>
    </row>
    <row r="283" spans="5:5" x14ac:dyDescent="0.25">
      <c r="E283" s="8" t="e">
        <f>COUNTIFS(zmb_admpop_adm2_2020!#REF!,'AB-ADM2'!D283)</f>
        <v>#REF!</v>
      </c>
    </row>
    <row r="284" spans="5:5" x14ac:dyDescent="0.25">
      <c r="E284" s="8" t="e">
        <f>COUNTIFS(zmb_admpop_adm2_2020!#REF!,'AB-ADM2'!D284)</f>
        <v>#REF!</v>
      </c>
    </row>
    <row r="285" spans="5:5" x14ac:dyDescent="0.25">
      <c r="E285" s="8" t="e">
        <f>COUNTIFS(zmb_admpop_adm2_2020!#REF!,'AB-ADM2'!D285)</f>
        <v>#REF!</v>
      </c>
    </row>
    <row r="286" spans="5:5" x14ac:dyDescent="0.25">
      <c r="E286" s="8" t="e">
        <f>COUNTIFS(zmb_admpop_adm2_2020!#REF!,'AB-ADM2'!D286)</f>
        <v>#REF!</v>
      </c>
    </row>
    <row r="287" spans="5:5" x14ac:dyDescent="0.25">
      <c r="E287" s="8" t="e">
        <f>COUNTIFS(zmb_admpop_adm2_2020!#REF!,'AB-ADM2'!D287)</f>
        <v>#REF!</v>
      </c>
    </row>
    <row r="288" spans="5:5" x14ac:dyDescent="0.25">
      <c r="E288" s="8" t="e">
        <f>COUNTIFS(zmb_admpop_adm2_2020!#REF!,'AB-ADM2'!D288)</f>
        <v>#REF!</v>
      </c>
    </row>
    <row r="289" spans="5:5" x14ac:dyDescent="0.25">
      <c r="E289" s="8" t="e">
        <f>COUNTIFS(zmb_admpop_adm2_2020!#REF!,'AB-ADM2'!D289)</f>
        <v>#REF!</v>
      </c>
    </row>
    <row r="290" spans="5:5" x14ac:dyDescent="0.25">
      <c r="E290" s="8" t="e">
        <f>COUNTIFS(zmb_admpop_adm2_2020!#REF!,'AB-ADM2'!D290)</f>
        <v>#REF!</v>
      </c>
    </row>
    <row r="291" spans="5:5" x14ac:dyDescent="0.25">
      <c r="E291" s="8" t="e">
        <f>COUNTIFS(zmb_admpop_adm2_2020!#REF!,'AB-ADM2'!D291)</f>
        <v>#REF!</v>
      </c>
    </row>
    <row r="292" spans="5:5" x14ac:dyDescent="0.25">
      <c r="E292" s="8" t="e">
        <f>COUNTIFS(zmb_admpop_adm2_2020!#REF!,'AB-ADM2'!D292)</f>
        <v>#REF!</v>
      </c>
    </row>
    <row r="293" spans="5:5" x14ac:dyDescent="0.25">
      <c r="E293" s="8" t="e">
        <f>COUNTIFS(zmb_admpop_adm2_2020!#REF!,'AB-ADM2'!D293)</f>
        <v>#REF!</v>
      </c>
    </row>
    <row r="294" spans="5:5" x14ac:dyDescent="0.25">
      <c r="E294" s="8" t="e">
        <f>COUNTIFS(zmb_admpop_adm2_2020!#REF!,'AB-ADM2'!D294)</f>
        <v>#REF!</v>
      </c>
    </row>
    <row r="295" spans="5:5" x14ac:dyDescent="0.25">
      <c r="E295" s="8" t="e">
        <f>COUNTIFS(zmb_admpop_adm2_2020!#REF!,'AB-ADM2'!D295)</f>
        <v>#REF!</v>
      </c>
    </row>
    <row r="296" spans="5:5" x14ac:dyDescent="0.25">
      <c r="E296" s="8" t="e">
        <f>COUNTIFS(zmb_admpop_adm2_2020!#REF!,'AB-ADM2'!D296)</f>
        <v>#REF!</v>
      </c>
    </row>
    <row r="297" spans="5:5" x14ac:dyDescent="0.25">
      <c r="E297" s="8" t="e">
        <f>COUNTIFS(zmb_admpop_adm2_2020!#REF!,'AB-ADM2'!D297)</f>
        <v>#REF!</v>
      </c>
    </row>
    <row r="298" spans="5:5" x14ac:dyDescent="0.25">
      <c r="E298" s="8" t="e">
        <f>COUNTIFS(zmb_admpop_adm2_2020!#REF!,'AB-ADM2'!D298)</f>
        <v>#REF!</v>
      </c>
    </row>
    <row r="299" spans="5:5" x14ac:dyDescent="0.25">
      <c r="E299" s="8" t="e">
        <f>COUNTIFS(zmb_admpop_adm2_2020!#REF!,'AB-ADM2'!D299)</f>
        <v>#REF!</v>
      </c>
    </row>
    <row r="300" spans="5:5" x14ac:dyDescent="0.25">
      <c r="E300" s="8" t="e">
        <f>COUNTIFS(zmb_admpop_adm2_2020!#REF!,'AB-ADM2'!D300)</f>
        <v>#REF!</v>
      </c>
    </row>
    <row r="301" spans="5:5" x14ac:dyDescent="0.25">
      <c r="E301" s="8" t="e">
        <f>COUNTIFS(zmb_admpop_adm2_2020!#REF!,'AB-ADM2'!D301)</f>
        <v>#REF!</v>
      </c>
    </row>
    <row r="302" spans="5:5" x14ac:dyDescent="0.25">
      <c r="E302" s="8" t="e">
        <f>COUNTIFS(zmb_admpop_adm2_2020!#REF!,'AB-ADM2'!D302)</f>
        <v>#REF!</v>
      </c>
    </row>
    <row r="303" spans="5:5" x14ac:dyDescent="0.25">
      <c r="E303" s="8" t="e">
        <f>COUNTIFS(zmb_admpop_adm2_2020!#REF!,'AB-ADM2'!D303)</f>
        <v>#REF!</v>
      </c>
    </row>
    <row r="304" spans="5:5" x14ac:dyDescent="0.25">
      <c r="E304" s="8" t="e">
        <f>COUNTIFS(zmb_admpop_adm2_2020!#REF!,'AB-ADM2'!D304)</f>
        <v>#REF!</v>
      </c>
    </row>
    <row r="305" spans="5:5" x14ac:dyDescent="0.25">
      <c r="E305" s="8" t="e">
        <f>COUNTIFS(zmb_admpop_adm2_2020!#REF!,'AB-ADM2'!D305)</f>
        <v>#REF!</v>
      </c>
    </row>
    <row r="306" spans="5:5" x14ac:dyDescent="0.25">
      <c r="E306" s="8" t="e">
        <f>COUNTIFS(zmb_admpop_adm2_2020!#REF!,'AB-ADM2'!D306)</f>
        <v>#REF!</v>
      </c>
    </row>
    <row r="307" spans="5:5" x14ac:dyDescent="0.25">
      <c r="E307" s="8" t="e">
        <f>COUNTIFS(zmb_admpop_adm2_2020!#REF!,'AB-ADM2'!D307)</f>
        <v>#REF!</v>
      </c>
    </row>
    <row r="308" spans="5:5" x14ac:dyDescent="0.25">
      <c r="E308" s="8" t="e">
        <f>COUNTIFS(zmb_admpop_adm2_2020!#REF!,'AB-ADM2'!D308)</f>
        <v>#REF!</v>
      </c>
    </row>
    <row r="309" spans="5:5" x14ac:dyDescent="0.25">
      <c r="E309" s="8" t="e">
        <f>COUNTIFS(zmb_admpop_adm2_2020!#REF!,'AB-ADM2'!D309)</f>
        <v>#REF!</v>
      </c>
    </row>
    <row r="310" spans="5:5" x14ac:dyDescent="0.25">
      <c r="E310" s="8" t="e">
        <f>COUNTIFS(zmb_admpop_adm2_2020!#REF!,'AB-ADM2'!D310)</f>
        <v>#REF!</v>
      </c>
    </row>
    <row r="311" spans="5:5" x14ac:dyDescent="0.25">
      <c r="E311" s="8" t="e">
        <f>COUNTIFS(zmb_admpop_adm2_2020!#REF!,'AB-ADM2'!D311)</f>
        <v>#REF!</v>
      </c>
    </row>
    <row r="312" spans="5:5" x14ac:dyDescent="0.25">
      <c r="E312" s="8" t="e">
        <f>COUNTIFS(zmb_admpop_adm2_2020!#REF!,'AB-ADM2'!D312)</f>
        <v>#REF!</v>
      </c>
    </row>
    <row r="313" spans="5:5" x14ac:dyDescent="0.25">
      <c r="E313" s="8" t="e">
        <f>COUNTIFS(zmb_admpop_adm2_2020!#REF!,'AB-ADM2'!D313)</f>
        <v>#REF!</v>
      </c>
    </row>
    <row r="314" spans="5:5" x14ac:dyDescent="0.25">
      <c r="E314" s="8" t="e">
        <f>COUNTIFS(zmb_admpop_adm2_2020!#REF!,'AB-ADM2'!D314)</f>
        <v>#REF!</v>
      </c>
    </row>
    <row r="315" spans="5:5" x14ac:dyDescent="0.25">
      <c r="E315" s="8" t="e">
        <f>COUNTIFS(zmb_admpop_adm2_2020!#REF!,'AB-ADM2'!D315)</f>
        <v>#REF!</v>
      </c>
    </row>
    <row r="316" spans="5:5" x14ac:dyDescent="0.25">
      <c r="E316" s="8" t="e">
        <f>COUNTIFS(zmb_admpop_adm2_2020!#REF!,'AB-ADM2'!D316)</f>
        <v>#REF!</v>
      </c>
    </row>
    <row r="317" spans="5:5" x14ac:dyDescent="0.25">
      <c r="E317" s="8" t="e">
        <f>COUNTIFS(zmb_admpop_adm2_2020!#REF!,'AB-ADM2'!D317)</f>
        <v>#REF!</v>
      </c>
    </row>
    <row r="318" spans="5:5" x14ac:dyDescent="0.25">
      <c r="E318" s="8" t="e">
        <f>COUNTIFS(zmb_admpop_adm2_2020!#REF!,'AB-ADM2'!D318)</f>
        <v>#REF!</v>
      </c>
    </row>
    <row r="319" spans="5:5" x14ac:dyDescent="0.25">
      <c r="E319" s="8" t="e">
        <f>COUNTIFS(zmb_admpop_adm2_2020!#REF!,'AB-ADM2'!D319)</f>
        <v>#REF!</v>
      </c>
    </row>
    <row r="320" spans="5:5" x14ac:dyDescent="0.25">
      <c r="E320" s="8" t="e">
        <f>COUNTIFS(zmb_admpop_adm2_2020!#REF!,'AB-ADM2'!D320)</f>
        <v>#REF!</v>
      </c>
    </row>
    <row r="321" spans="5:5" x14ac:dyDescent="0.25">
      <c r="E321" s="8" t="e">
        <f>COUNTIFS(zmb_admpop_adm2_2020!#REF!,'AB-ADM2'!D321)</f>
        <v>#REF!</v>
      </c>
    </row>
    <row r="322" spans="5:5" x14ac:dyDescent="0.25">
      <c r="E322" s="8" t="e">
        <f>COUNTIFS(zmb_admpop_adm2_2020!#REF!,'AB-ADM2'!D322)</f>
        <v>#REF!</v>
      </c>
    </row>
    <row r="323" spans="5:5" x14ac:dyDescent="0.25">
      <c r="E323" s="8" t="e">
        <f>COUNTIFS(zmb_admpop_adm2_2020!#REF!,'AB-ADM2'!D323)</f>
        <v>#REF!</v>
      </c>
    </row>
    <row r="324" spans="5:5" x14ac:dyDescent="0.25">
      <c r="E324" s="8" t="e">
        <f>COUNTIFS(zmb_admpop_adm2_2020!#REF!,'AB-ADM2'!D324)</f>
        <v>#REF!</v>
      </c>
    </row>
    <row r="325" spans="5:5" x14ac:dyDescent="0.25">
      <c r="E325" s="8" t="e">
        <f>COUNTIFS(zmb_admpop_adm2_2020!#REF!,'AB-ADM2'!D325)</f>
        <v>#REF!</v>
      </c>
    </row>
    <row r="326" spans="5:5" x14ac:dyDescent="0.25">
      <c r="E326" s="8" t="e">
        <f>COUNTIFS(zmb_admpop_adm2_2020!#REF!,'AB-ADM2'!D326)</f>
        <v>#REF!</v>
      </c>
    </row>
    <row r="327" spans="5:5" x14ac:dyDescent="0.25">
      <c r="E327" s="8" t="e">
        <f>COUNTIFS(zmb_admpop_adm2_2020!#REF!,'AB-ADM2'!D327)</f>
        <v>#REF!</v>
      </c>
    </row>
    <row r="328" spans="5:5" x14ac:dyDescent="0.25">
      <c r="E328" s="8" t="e">
        <f>COUNTIFS(zmb_admpop_adm2_2020!#REF!,'AB-ADM2'!D328)</f>
        <v>#REF!</v>
      </c>
    </row>
    <row r="329" spans="5:5" x14ac:dyDescent="0.25">
      <c r="E329" s="8" t="e">
        <f>COUNTIFS(zmb_admpop_adm2_2020!#REF!,'AB-ADM2'!D329)</f>
        <v>#REF!</v>
      </c>
    </row>
    <row r="330" spans="5:5" x14ac:dyDescent="0.25">
      <c r="E330" s="8" t="e">
        <f>COUNTIFS(zmb_admpop_adm2_2020!#REF!,'AB-ADM2'!D330)</f>
        <v>#REF!</v>
      </c>
    </row>
    <row r="331" spans="5:5" x14ac:dyDescent="0.25">
      <c r="E331" s="8" t="e">
        <f>COUNTIFS(zmb_admpop_adm2_2020!#REF!,'AB-ADM2'!D331)</f>
        <v>#REF!</v>
      </c>
    </row>
    <row r="332" spans="5:5" x14ac:dyDescent="0.25">
      <c r="E332" s="8" t="e">
        <f>COUNTIFS(zmb_admpop_adm2_2020!#REF!,'AB-ADM2'!D332)</f>
        <v>#REF!</v>
      </c>
    </row>
    <row r="333" spans="5:5" x14ac:dyDescent="0.25">
      <c r="E333" s="8" t="e">
        <f>COUNTIFS(zmb_admpop_adm2_2020!#REF!,'AB-ADM2'!D333)</f>
        <v>#REF!</v>
      </c>
    </row>
    <row r="334" spans="5:5" x14ac:dyDescent="0.25">
      <c r="E334" s="8" t="e">
        <f>COUNTIFS(zmb_admpop_adm2_2020!#REF!,'AB-ADM2'!D334)</f>
        <v>#REF!</v>
      </c>
    </row>
    <row r="335" spans="5:5" x14ac:dyDescent="0.25">
      <c r="E335" s="8" t="e">
        <f>COUNTIFS(zmb_admpop_adm2_2020!#REF!,'AB-ADM2'!D335)</f>
        <v>#REF!</v>
      </c>
    </row>
    <row r="336" spans="5:5" x14ac:dyDescent="0.25">
      <c r="E336" s="8" t="e">
        <f>COUNTIFS(zmb_admpop_adm2_2020!#REF!,'AB-ADM2'!D336)</f>
        <v>#REF!</v>
      </c>
    </row>
    <row r="337" spans="5:5" x14ac:dyDescent="0.25">
      <c r="E337" s="8" t="e">
        <f>COUNTIFS(zmb_admpop_adm2_2020!#REF!,'AB-ADM2'!D337)</f>
        <v>#REF!</v>
      </c>
    </row>
    <row r="338" spans="5:5" x14ac:dyDescent="0.25">
      <c r="E338" s="8" t="e">
        <f>COUNTIFS(zmb_admpop_adm2_2020!#REF!,'AB-ADM2'!D338)</f>
        <v>#REF!</v>
      </c>
    </row>
    <row r="339" spans="5:5" x14ac:dyDescent="0.25">
      <c r="E339" s="8" t="e">
        <f>COUNTIFS(zmb_admpop_adm2_2020!#REF!,'AB-ADM2'!D339)</f>
        <v>#REF!</v>
      </c>
    </row>
    <row r="340" spans="5:5" x14ac:dyDescent="0.25">
      <c r="E340" s="8" t="e">
        <f>COUNTIFS(zmb_admpop_adm2_2020!#REF!,'AB-ADM2'!D340)</f>
        <v>#REF!</v>
      </c>
    </row>
    <row r="341" spans="5:5" x14ac:dyDescent="0.25">
      <c r="E341" s="8" t="e">
        <f>COUNTIFS(zmb_admpop_adm2_2020!#REF!,'AB-ADM2'!D341)</f>
        <v>#REF!</v>
      </c>
    </row>
    <row r="342" spans="5:5" x14ac:dyDescent="0.25">
      <c r="E342" s="8" t="e">
        <f>COUNTIFS(zmb_admpop_adm2_2020!#REF!,'AB-ADM2'!D342)</f>
        <v>#REF!</v>
      </c>
    </row>
    <row r="343" spans="5:5" x14ac:dyDescent="0.25">
      <c r="E343" s="8" t="e">
        <f>COUNTIFS(zmb_admpop_adm2_2020!#REF!,'AB-ADM2'!D343)</f>
        <v>#REF!</v>
      </c>
    </row>
    <row r="344" spans="5:5" x14ac:dyDescent="0.25">
      <c r="E344" s="8" t="e">
        <f>COUNTIFS(zmb_admpop_adm2_2020!#REF!,'AB-ADM2'!D344)</f>
        <v>#REF!</v>
      </c>
    </row>
    <row r="345" spans="5:5" x14ac:dyDescent="0.25">
      <c r="E345" s="8" t="e">
        <f>COUNTIFS(zmb_admpop_adm2_2020!#REF!,'AB-ADM2'!D345)</f>
        <v>#REF!</v>
      </c>
    </row>
    <row r="346" spans="5:5" x14ac:dyDescent="0.25">
      <c r="E346" s="8" t="e">
        <f>COUNTIFS(zmb_admpop_adm2_2020!#REF!,'AB-ADM2'!D346)</f>
        <v>#REF!</v>
      </c>
    </row>
    <row r="347" spans="5:5" x14ac:dyDescent="0.25">
      <c r="E347" s="8" t="e">
        <f>COUNTIFS(zmb_admpop_adm2_2020!#REF!,'AB-ADM2'!D347)</f>
        <v>#REF!</v>
      </c>
    </row>
    <row r="348" spans="5:5" x14ac:dyDescent="0.25">
      <c r="E348" s="8" t="e">
        <f>COUNTIFS(zmb_admpop_adm2_2020!#REF!,'AB-ADM2'!D348)</f>
        <v>#REF!</v>
      </c>
    </row>
    <row r="349" spans="5:5" x14ac:dyDescent="0.25">
      <c r="E349" s="8" t="e">
        <f>COUNTIFS(zmb_admpop_adm2_2020!#REF!,'AB-ADM2'!D349)</f>
        <v>#REF!</v>
      </c>
    </row>
    <row r="350" spans="5:5" x14ac:dyDescent="0.25">
      <c r="E350" s="8" t="e">
        <f>COUNTIFS(zmb_admpop_adm2_2020!#REF!,'AB-ADM2'!D350)</f>
        <v>#REF!</v>
      </c>
    </row>
    <row r="351" spans="5:5" x14ac:dyDescent="0.25">
      <c r="E351" s="8" t="e">
        <f>COUNTIFS(zmb_admpop_adm2_2020!#REF!,'AB-ADM2'!D351)</f>
        <v>#REF!</v>
      </c>
    </row>
    <row r="352" spans="5:5" x14ac:dyDescent="0.25">
      <c r="E352" s="8" t="e">
        <f>COUNTIFS(zmb_admpop_adm2_2020!#REF!,'AB-ADM2'!D352)</f>
        <v>#REF!</v>
      </c>
    </row>
    <row r="353" spans="5:5" x14ac:dyDescent="0.25">
      <c r="E353" s="8" t="e">
        <f>COUNTIFS(zmb_admpop_adm2_2020!#REF!,'AB-ADM2'!D353)</f>
        <v>#REF!</v>
      </c>
    </row>
    <row r="354" spans="5:5" x14ac:dyDescent="0.25">
      <c r="E354" s="8" t="e">
        <f>COUNTIFS(zmb_admpop_adm2_2020!#REF!,'AB-ADM2'!D354)</f>
        <v>#REF!</v>
      </c>
    </row>
    <row r="355" spans="5:5" x14ac:dyDescent="0.25">
      <c r="E355" s="8" t="e">
        <f>COUNTIFS(zmb_admpop_adm2_2020!#REF!,'AB-ADM2'!D355)</f>
        <v>#REF!</v>
      </c>
    </row>
    <row r="356" spans="5:5" x14ac:dyDescent="0.25">
      <c r="E356" s="8" t="e">
        <f>COUNTIFS(zmb_admpop_adm2_2020!#REF!,'AB-ADM2'!D356)</f>
        <v>#REF!</v>
      </c>
    </row>
    <row r="357" spans="5:5" x14ac:dyDescent="0.25">
      <c r="E357" s="8" t="e">
        <f>COUNTIFS(zmb_admpop_adm2_2020!#REF!,'AB-ADM2'!D357)</f>
        <v>#REF!</v>
      </c>
    </row>
    <row r="358" spans="5:5" x14ac:dyDescent="0.25">
      <c r="E358" s="8" t="e">
        <f>COUNTIFS(zmb_admpop_adm2_2020!#REF!,'AB-ADM2'!D358)</f>
        <v>#REF!</v>
      </c>
    </row>
    <row r="359" spans="5:5" x14ac:dyDescent="0.25">
      <c r="E359" s="8" t="e">
        <f>COUNTIFS(zmb_admpop_adm2_2020!#REF!,'AB-ADM2'!D359)</f>
        <v>#REF!</v>
      </c>
    </row>
    <row r="360" spans="5:5" x14ac:dyDescent="0.25">
      <c r="E360" s="8" t="e">
        <f>COUNTIFS(zmb_admpop_adm2_2020!#REF!,'AB-ADM2'!D360)</f>
        <v>#REF!</v>
      </c>
    </row>
    <row r="361" spans="5:5" x14ac:dyDescent="0.25">
      <c r="E361" s="8" t="e">
        <f>COUNTIFS(zmb_admpop_adm2_2020!#REF!,'AB-ADM2'!D361)</f>
        <v>#REF!</v>
      </c>
    </row>
    <row r="362" spans="5:5" x14ac:dyDescent="0.25">
      <c r="E362" s="8" t="e">
        <f>COUNTIFS(zmb_admpop_adm2_2020!#REF!,'AB-ADM2'!D362)</f>
        <v>#REF!</v>
      </c>
    </row>
    <row r="363" spans="5:5" x14ac:dyDescent="0.25">
      <c r="E363" s="8" t="e">
        <f>COUNTIFS(zmb_admpop_adm2_2020!#REF!,'AB-ADM2'!D363)</f>
        <v>#REF!</v>
      </c>
    </row>
    <row r="364" spans="5:5" x14ac:dyDescent="0.25">
      <c r="E364" s="8" t="e">
        <f>COUNTIFS(zmb_admpop_adm2_2020!#REF!,'AB-ADM2'!D364)</f>
        <v>#REF!</v>
      </c>
    </row>
    <row r="365" spans="5:5" x14ac:dyDescent="0.25">
      <c r="E365" s="8" t="e">
        <f>COUNTIFS(zmb_admpop_adm2_2020!#REF!,'AB-ADM2'!D365)</f>
        <v>#REF!</v>
      </c>
    </row>
    <row r="366" spans="5:5" x14ac:dyDescent="0.25">
      <c r="E366" s="8" t="e">
        <f>COUNTIFS(zmb_admpop_adm2_2020!#REF!,'AB-ADM2'!D366)</f>
        <v>#REF!</v>
      </c>
    </row>
    <row r="367" spans="5:5" x14ac:dyDescent="0.25">
      <c r="E367" s="8" t="e">
        <f>COUNTIFS(zmb_admpop_adm2_2020!#REF!,'AB-ADM2'!D367)</f>
        <v>#REF!</v>
      </c>
    </row>
    <row r="368" spans="5:5" x14ac:dyDescent="0.25">
      <c r="E368" s="8" t="e">
        <f>COUNTIFS(zmb_admpop_adm2_2020!#REF!,'AB-ADM2'!D368)</f>
        <v>#REF!</v>
      </c>
    </row>
    <row r="369" spans="5:5" x14ac:dyDescent="0.25">
      <c r="E369" s="8" t="e">
        <f>COUNTIFS(zmb_admpop_adm2_2020!#REF!,'AB-ADM2'!D369)</f>
        <v>#REF!</v>
      </c>
    </row>
    <row r="370" spans="5:5" x14ac:dyDescent="0.25">
      <c r="E370" s="8" t="e">
        <f>COUNTIFS(zmb_admpop_adm2_2020!#REF!,'AB-ADM2'!D370)</f>
        <v>#REF!</v>
      </c>
    </row>
    <row r="371" spans="5:5" x14ac:dyDescent="0.25">
      <c r="E371" s="8" t="e">
        <f>COUNTIFS(zmb_admpop_adm2_2020!#REF!,'AB-ADM2'!D371)</f>
        <v>#REF!</v>
      </c>
    </row>
    <row r="372" spans="5:5" x14ac:dyDescent="0.25">
      <c r="E372" s="8" t="e">
        <f>COUNTIFS(zmb_admpop_adm2_2020!#REF!,'AB-ADM2'!D372)</f>
        <v>#REF!</v>
      </c>
    </row>
    <row r="373" spans="5:5" x14ac:dyDescent="0.25">
      <c r="E373" s="8" t="e">
        <f>COUNTIFS(zmb_admpop_adm2_2020!#REF!,'AB-ADM2'!D373)</f>
        <v>#REF!</v>
      </c>
    </row>
    <row r="374" spans="5:5" x14ac:dyDescent="0.25">
      <c r="E374" s="8" t="e">
        <f>COUNTIFS(zmb_admpop_adm2_2020!#REF!,'AB-ADM2'!D374)</f>
        <v>#REF!</v>
      </c>
    </row>
    <row r="375" spans="5:5" x14ac:dyDescent="0.25">
      <c r="E375" s="8" t="e">
        <f>COUNTIFS(zmb_admpop_adm2_2020!#REF!,'AB-ADM2'!D375)</f>
        <v>#REF!</v>
      </c>
    </row>
    <row r="376" spans="5:5" x14ac:dyDescent="0.25">
      <c r="E376" s="8" t="e">
        <f>COUNTIFS(zmb_admpop_adm2_2020!#REF!,'AB-ADM2'!D376)</f>
        <v>#REF!</v>
      </c>
    </row>
    <row r="377" spans="5:5" x14ac:dyDescent="0.25">
      <c r="E377" s="8" t="e">
        <f>COUNTIFS(zmb_admpop_adm2_2020!#REF!,'AB-ADM2'!D377)</f>
        <v>#REF!</v>
      </c>
    </row>
    <row r="378" spans="5:5" x14ac:dyDescent="0.25">
      <c r="E378" s="8" t="e">
        <f>COUNTIFS(zmb_admpop_adm2_2020!#REF!,'AB-ADM2'!D378)</f>
        <v>#REF!</v>
      </c>
    </row>
    <row r="379" spans="5:5" x14ac:dyDescent="0.25">
      <c r="E379" s="8" t="e">
        <f>COUNTIFS(zmb_admpop_adm2_2020!#REF!,'AB-ADM2'!D379)</f>
        <v>#REF!</v>
      </c>
    </row>
    <row r="380" spans="5:5" x14ac:dyDescent="0.25">
      <c r="E380" s="8" t="e">
        <f>COUNTIFS(zmb_admpop_adm2_2020!#REF!,'AB-ADM2'!D380)</f>
        <v>#REF!</v>
      </c>
    </row>
    <row r="381" spans="5:5" x14ac:dyDescent="0.25">
      <c r="E381" s="8" t="e">
        <f>COUNTIFS(zmb_admpop_adm2_2020!#REF!,'AB-ADM2'!D381)</f>
        <v>#REF!</v>
      </c>
    </row>
    <row r="382" spans="5:5" x14ac:dyDescent="0.25">
      <c r="E382" s="8" t="e">
        <f>COUNTIFS(zmb_admpop_adm2_2020!#REF!,'AB-ADM2'!D382)</f>
        <v>#REF!</v>
      </c>
    </row>
    <row r="383" spans="5:5" x14ac:dyDescent="0.25">
      <c r="E383" s="8" t="e">
        <f>COUNTIFS(zmb_admpop_adm2_2020!#REF!,'AB-ADM2'!D383)</f>
        <v>#REF!</v>
      </c>
    </row>
    <row r="384" spans="5:5" x14ac:dyDescent="0.25">
      <c r="E384" s="8" t="e">
        <f>COUNTIFS(zmb_admpop_adm2_2020!#REF!,'AB-ADM2'!D384)</f>
        <v>#REF!</v>
      </c>
    </row>
    <row r="385" spans="5:5" x14ac:dyDescent="0.25">
      <c r="E385" s="8" t="e">
        <f>COUNTIFS(zmb_admpop_adm2_2020!#REF!,'AB-ADM2'!D385)</f>
        <v>#REF!</v>
      </c>
    </row>
    <row r="386" spans="5:5" x14ac:dyDescent="0.25">
      <c r="E386" s="8" t="e">
        <f>COUNTIFS(zmb_admpop_adm2_2020!#REF!,'AB-ADM2'!D386)</f>
        <v>#REF!</v>
      </c>
    </row>
    <row r="387" spans="5:5" x14ac:dyDescent="0.25">
      <c r="E387" s="8" t="e">
        <f>COUNTIFS(zmb_admpop_adm2_2020!#REF!,'AB-ADM2'!D387)</f>
        <v>#REF!</v>
      </c>
    </row>
    <row r="388" spans="5:5" x14ac:dyDescent="0.25">
      <c r="E388" s="8" t="e">
        <f>COUNTIFS(zmb_admpop_adm2_2020!#REF!,'AB-ADM2'!D388)</f>
        <v>#REF!</v>
      </c>
    </row>
    <row r="389" spans="5:5" x14ac:dyDescent="0.25">
      <c r="E389" s="8" t="e">
        <f>COUNTIFS(zmb_admpop_adm2_2020!#REF!,'AB-ADM2'!D389)</f>
        <v>#REF!</v>
      </c>
    </row>
    <row r="390" spans="5:5" x14ac:dyDescent="0.25">
      <c r="E390" s="8" t="e">
        <f>COUNTIFS(zmb_admpop_adm2_2020!#REF!,'AB-ADM2'!D390)</f>
        <v>#REF!</v>
      </c>
    </row>
    <row r="391" spans="5:5" x14ac:dyDescent="0.25">
      <c r="E391" s="8" t="e">
        <f>COUNTIFS(zmb_admpop_adm2_2020!#REF!,'AB-ADM2'!D391)</f>
        <v>#REF!</v>
      </c>
    </row>
    <row r="392" spans="5:5" x14ac:dyDescent="0.25">
      <c r="E392" s="8" t="e">
        <f>COUNTIFS(zmb_admpop_adm2_2020!#REF!,'AB-ADM2'!D392)</f>
        <v>#REF!</v>
      </c>
    </row>
    <row r="393" spans="5:5" x14ac:dyDescent="0.25">
      <c r="E393" s="8" t="e">
        <f>COUNTIFS(zmb_admpop_adm2_2020!#REF!,'AB-ADM2'!D393)</f>
        <v>#REF!</v>
      </c>
    </row>
    <row r="394" spans="5:5" x14ac:dyDescent="0.25">
      <c r="E394" s="8" t="e">
        <f>COUNTIFS(zmb_admpop_adm2_2020!#REF!,'AB-ADM2'!D394)</f>
        <v>#REF!</v>
      </c>
    </row>
    <row r="395" spans="5:5" x14ac:dyDescent="0.25">
      <c r="E395" s="8" t="e">
        <f>COUNTIFS(zmb_admpop_adm2_2020!#REF!,'AB-ADM2'!D395)</f>
        <v>#REF!</v>
      </c>
    </row>
    <row r="396" spans="5:5" x14ac:dyDescent="0.25">
      <c r="E396" s="8" t="e">
        <f>COUNTIFS(zmb_admpop_adm2_2020!#REF!,'AB-ADM2'!D396)</f>
        <v>#REF!</v>
      </c>
    </row>
    <row r="397" spans="5:5" x14ac:dyDescent="0.25">
      <c r="E397" s="8" t="e">
        <f>COUNTIFS(zmb_admpop_adm2_2020!#REF!,'AB-ADM2'!D397)</f>
        <v>#REF!</v>
      </c>
    </row>
    <row r="398" spans="5:5" x14ac:dyDescent="0.25">
      <c r="E398" s="8" t="e">
        <f>COUNTIFS(zmb_admpop_adm2_2020!#REF!,'AB-ADM2'!D398)</f>
        <v>#REF!</v>
      </c>
    </row>
    <row r="399" spans="5:5" x14ac:dyDescent="0.25">
      <c r="E399" s="8" t="e">
        <f>COUNTIFS(zmb_admpop_adm2_2020!#REF!,'AB-ADM2'!D399)</f>
        <v>#REF!</v>
      </c>
    </row>
    <row r="400" spans="5:5" x14ac:dyDescent="0.25">
      <c r="E400" s="8" t="e">
        <f>COUNTIFS(zmb_admpop_adm2_2020!#REF!,'AB-ADM2'!D400)</f>
        <v>#REF!</v>
      </c>
    </row>
    <row r="401" spans="5:5" x14ac:dyDescent="0.25">
      <c r="E401" s="8" t="e">
        <f>COUNTIFS(zmb_admpop_adm2_2020!#REF!,'AB-ADM2'!D401)</f>
        <v>#REF!</v>
      </c>
    </row>
    <row r="402" spans="5:5" x14ac:dyDescent="0.25">
      <c r="E402" s="8" t="e">
        <f>COUNTIFS(zmb_admpop_adm2_2020!#REF!,'AB-ADM2'!D402)</f>
        <v>#REF!</v>
      </c>
    </row>
    <row r="403" spans="5:5" x14ac:dyDescent="0.25">
      <c r="E403" s="8" t="e">
        <f>COUNTIFS(zmb_admpop_adm2_2020!#REF!,'AB-ADM2'!D403)</f>
        <v>#REF!</v>
      </c>
    </row>
    <row r="404" spans="5:5" x14ac:dyDescent="0.25">
      <c r="E404" s="8" t="e">
        <f>COUNTIFS(zmb_admpop_adm2_2020!#REF!,'AB-ADM2'!D404)</f>
        <v>#REF!</v>
      </c>
    </row>
    <row r="405" spans="5:5" x14ac:dyDescent="0.25">
      <c r="E405" s="8" t="e">
        <f>COUNTIFS(zmb_admpop_adm2_2020!#REF!,'AB-ADM2'!D405)</f>
        <v>#REF!</v>
      </c>
    </row>
    <row r="406" spans="5:5" x14ac:dyDescent="0.25">
      <c r="E406" s="8" t="e">
        <f>COUNTIFS(zmb_admpop_adm2_2020!#REF!,'AB-ADM2'!D406)</f>
        <v>#REF!</v>
      </c>
    </row>
    <row r="407" spans="5:5" x14ac:dyDescent="0.25">
      <c r="E407" s="8" t="e">
        <f>COUNTIFS(zmb_admpop_adm2_2020!#REF!,'AB-ADM2'!D407)</f>
        <v>#REF!</v>
      </c>
    </row>
    <row r="408" spans="5:5" x14ac:dyDescent="0.25">
      <c r="E408" s="8" t="e">
        <f>COUNTIFS(zmb_admpop_adm2_2020!#REF!,'AB-ADM2'!D408)</f>
        <v>#REF!</v>
      </c>
    </row>
    <row r="409" spans="5:5" x14ac:dyDescent="0.25">
      <c r="E409" s="8" t="e">
        <f>COUNTIFS(zmb_admpop_adm2_2020!#REF!,'AB-ADM2'!D409)</f>
        <v>#REF!</v>
      </c>
    </row>
    <row r="410" spans="5:5" x14ac:dyDescent="0.25">
      <c r="E410" s="8" t="e">
        <f>COUNTIFS(zmb_admpop_adm2_2020!#REF!,'AB-ADM2'!D410)</f>
        <v>#REF!</v>
      </c>
    </row>
    <row r="411" spans="5:5" x14ac:dyDescent="0.25">
      <c r="E411" s="8" t="e">
        <f>COUNTIFS(zmb_admpop_adm2_2020!#REF!,'AB-ADM2'!D411)</f>
        <v>#REF!</v>
      </c>
    </row>
    <row r="412" spans="5:5" x14ac:dyDescent="0.25">
      <c r="E412" s="8" t="e">
        <f>COUNTIFS(zmb_admpop_adm2_2020!#REF!,'AB-ADM2'!D412)</f>
        <v>#REF!</v>
      </c>
    </row>
    <row r="413" spans="5:5" x14ac:dyDescent="0.25">
      <c r="E413" s="8" t="e">
        <f>COUNTIFS(zmb_admpop_adm2_2020!#REF!,'AB-ADM2'!D413)</f>
        <v>#REF!</v>
      </c>
    </row>
    <row r="414" spans="5:5" x14ac:dyDescent="0.25">
      <c r="E414" s="8" t="e">
        <f>COUNTIFS(zmb_admpop_adm2_2020!#REF!,'AB-ADM2'!D414)</f>
        <v>#REF!</v>
      </c>
    </row>
    <row r="415" spans="5:5" x14ac:dyDescent="0.25">
      <c r="E415" s="8" t="e">
        <f>COUNTIFS(zmb_admpop_adm2_2020!#REF!,'AB-ADM2'!D415)</f>
        <v>#REF!</v>
      </c>
    </row>
    <row r="416" spans="5:5" x14ac:dyDescent="0.25">
      <c r="E416" s="8" t="e">
        <f>COUNTIFS(zmb_admpop_adm2_2020!#REF!,'AB-ADM2'!D416)</f>
        <v>#REF!</v>
      </c>
    </row>
    <row r="417" spans="5:5" x14ac:dyDescent="0.25">
      <c r="E417" s="8" t="e">
        <f>COUNTIFS(zmb_admpop_adm2_2020!#REF!,'AB-ADM2'!D417)</f>
        <v>#REF!</v>
      </c>
    </row>
    <row r="418" spans="5:5" x14ac:dyDescent="0.25">
      <c r="E418" s="8" t="e">
        <f>COUNTIFS(zmb_admpop_adm2_2020!#REF!,'AB-ADM2'!D418)</f>
        <v>#REF!</v>
      </c>
    </row>
    <row r="419" spans="5:5" x14ac:dyDescent="0.25">
      <c r="E419" s="8" t="e">
        <f>COUNTIFS(zmb_admpop_adm2_2020!#REF!,'AB-ADM2'!D419)</f>
        <v>#REF!</v>
      </c>
    </row>
    <row r="420" spans="5:5" x14ac:dyDescent="0.25">
      <c r="E420" s="8" t="e">
        <f>COUNTIFS(zmb_admpop_adm2_2020!#REF!,'AB-ADM2'!D420)</f>
        <v>#REF!</v>
      </c>
    </row>
    <row r="421" spans="5:5" x14ac:dyDescent="0.25">
      <c r="E421" s="8" t="e">
        <f>COUNTIFS(zmb_admpop_adm2_2020!#REF!,'AB-ADM2'!D421)</f>
        <v>#REF!</v>
      </c>
    </row>
    <row r="422" spans="5:5" x14ac:dyDescent="0.25">
      <c r="E422" s="8" t="e">
        <f>COUNTIFS(zmb_admpop_adm2_2020!#REF!,'AB-ADM2'!D422)</f>
        <v>#REF!</v>
      </c>
    </row>
    <row r="423" spans="5:5" x14ac:dyDescent="0.25">
      <c r="E423" s="8" t="e">
        <f>COUNTIFS(zmb_admpop_adm2_2020!#REF!,'AB-ADM2'!D423)</f>
        <v>#REF!</v>
      </c>
    </row>
    <row r="424" spans="5:5" x14ac:dyDescent="0.25">
      <c r="E424" s="8" t="e">
        <f>COUNTIFS(zmb_admpop_adm2_2020!#REF!,'AB-ADM2'!D424)</f>
        <v>#REF!</v>
      </c>
    </row>
    <row r="425" spans="5:5" x14ac:dyDescent="0.25">
      <c r="E425" s="8" t="e">
        <f>COUNTIFS(zmb_admpop_adm2_2020!#REF!,'AB-ADM2'!D425)</f>
        <v>#REF!</v>
      </c>
    </row>
    <row r="426" spans="5:5" x14ac:dyDescent="0.25">
      <c r="E426" s="8" t="e">
        <f>COUNTIFS(zmb_admpop_adm2_2020!#REF!,'AB-ADM2'!D426)</f>
        <v>#REF!</v>
      </c>
    </row>
    <row r="427" spans="5:5" x14ac:dyDescent="0.25">
      <c r="E427" s="8" t="e">
        <f>COUNTIFS(zmb_admpop_adm2_2020!#REF!,'AB-ADM2'!D427)</f>
        <v>#REF!</v>
      </c>
    </row>
    <row r="428" spans="5:5" x14ac:dyDescent="0.25">
      <c r="E428" s="8" t="e">
        <f>COUNTIFS(zmb_admpop_adm2_2020!#REF!,'AB-ADM2'!D428)</f>
        <v>#REF!</v>
      </c>
    </row>
    <row r="429" spans="5:5" x14ac:dyDescent="0.25">
      <c r="E429" s="8" t="e">
        <f>COUNTIFS(zmb_admpop_adm2_2020!#REF!,'AB-ADM2'!D429)</f>
        <v>#REF!</v>
      </c>
    </row>
    <row r="430" spans="5:5" x14ac:dyDescent="0.25">
      <c r="E430" s="8" t="e">
        <f>COUNTIFS(zmb_admpop_adm2_2020!#REF!,'AB-ADM2'!D430)</f>
        <v>#REF!</v>
      </c>
    </row>
    <row r="431" spans="5:5" x14ac:dyDescent="0.25">
      <c r="E431" s="8" t="e">
        <f>COUNTIFS(zmb_admpop_adm2_2020!#REF!,'AB-ADM2'!D431)</f>
        <v>#REF!</v>
      </c>
    </row>
    <row r="432" spans="5:5" x14ac:dyDescent="0.25">
      <c r="E432" s="8" t="e">
        <f>COUNTIFS(zmb_admpop_adm2_2020!#REF!,'AB-ADM2'!D432)</f>
        <v>#REF!</v>
      </c>
    </row>
    <row r="433" spans="5:5" x14ac:dyDescent="0.25">
      <c r="E433" s="8" t="e">
        <f>COUNTIFS(zmb_admpop_adm2_2020!#REF!,'AB-ADM2'!D433)</f>
        <v>#REF!</v>
      </c>
    </row>
    <row r="434" spans="5:5" x14ac:dyDescent="0.25">
      <c r="E434" s="8" t="e">
        <f>COUNTIFS(zmb_admpop_adm2_2020!#REF!,'AB-ADM2'!D434)</f>
        <v>#REF!</v>
      </c>
    </row>
    <row r="435" spans="5:5" x14ac:dyDescent="0.25">
      <c r="E435" s="8" t="e">
        <f>COUNTIFS(zmb_admpop_adm2_2020!#REF!,'AB-ADM2'!D435)</f>
        <v>#REF!</v>
      </c>
    </row>
    <row r="436" spans="5:5" x14ac:dyDescent="0.25">
      <c r="E436" s="8" t="e">
        <f>COUNTIFS(zmb_admpop_adm2_2020!#REF!,'AB-ADM2'!D436)</f>
        <v>#REF!</v>
      </c>
    </row>
    <row r="437" spans="5:5" x14ac:dyDescent="0.25">
      <c r="E437" s="8" t="e">
        <f>COUNTIFS(zmb_admpop_adm2_2020!#REF!,'AB-ADM2'!D437)</f>
        <v>#REF!</v>
      </c>
    </row>
    <row r="438" spans="5:5" x14ac:dyDescent="0.25">
      <c r="E438" s="8" t="e">
        <f>COUNTIFS(zmb_admpop_adm2_2020!#REF!,'AB-ADM2'!D438)</f>
        <v>#REF!</v>
      </c>
    </row>
    <row r="439" spans="5:5" x14ac:dyDescent="0.25">
      <c r="E439" s="8" t="e">
        <f>COUNTIFS(zmb_admpop_adm2_2020!#REF!,'AB-ADM2'!D439)</f>
        <v>#REF!</v>
      </c>
    </row>
    <row r="440" spans="5:5" x14ac:dyDescent="0.25">
      <c r="E440" s="8" t="e">
        <f>COUNTIFS(zmb_admpop_adm2_2020!#REF!,'AB-ADM2'!D440)</f>
        <v>#REF!</v>
      </c>
    </row>
    <row r="441" spans="5:5" x14ac:dyDescent="0.25">
      <c r="E441" s="8" t="e">
        <f>COUNTIFS(zmb_admpop_adm2_2020!#REF!,'AB-ADM2'!D441)</f>
        <v>#REF!</v>
      </c>
    </row>
    <row r="442" spans="5:5" x14ac:dyDescent="0.25">
      <c r="E442" s="8" t="e">
        <f>COUNTIFS(zmb_admpop_adm2_2020!#REF!,'AB-ADM2'!D442)</f>
        <v>#REF!</v>
      </c>
    </row>
    <row r="443" spans="5:5" x14ac:dyDescent="0.25">
      <c r="E443" s="8" t="e">
        <f>COUNTIFS(zmb_admpop_adm2_2020!#REF!,'AB-ADM2'!D443)</f>
        <v>#REF!</v>
      </c>
    </row>
    <row r="444" spans="5:5" x14ac:dyDescent="0.25">
      <c r="E444" s="8" t="e">
        <f>COUNTIFS(zmb_admpop_adm2_2020!#REF!,'AB-ADM2'!D444)</f>
        <v>#REF!</v>
      </c>
    </row>
    <row r="445" spans="5:5" x14ac:dyDescent="0.25">
      <c r="E445" s="8" t="e">
        <f>COUNTIFS(zmb_admpop_adm2_2020!#REF!,'AB-ADM2'!D445)</f>
        <v>#REF!</v>
      </c>
    </row>
    <row r="446" spans="5:5" x14ac:dyDescent="0.25">
      <c r="E446" s="8" t="e">
        <f>COUNTIFS(zmb_admpop_adm2_2020!#REF!,'AB-ADM2'!D446)</f>
        <v>#REF!</v>
      </c>
    </row>
    <row r="447" spans="5:5" x14ac:dyDescent="0.25">
      <c r="E447" s="8" t="e">
        <f>COUNTIFS(zmb_admpop_adm2_2020!#REF!,'AB-ADM2'!D447)</f>
        <v>#REF!</v>
      </c>
    </row>
    <row r="448" spans="5:5" x14ac:dyDescent="0.25">
      <c r="E448" s="8" t="e">
        <f>COUNTIFS(zmb_admpop_adm2_2020!#REF!,'AB-ADM2'!D448)</f>
        <v>#REF!</v>
      </c>
    </row>
    <row r="449" spans="5:5" x14ac:dyDescent="0.25">
      <c r="E449" s="8" t="e">
        <f>COUNTIFS(zmb_admpop_adm2_2020!#REF!,'AB-ADM2'!D449)</f>
        <v>#REF!</v>
      </c>
    </row>
    <row r="450" spans="5:5" x14ac:dyDescent="0.25">
      <c r="E450" s="8" t="e">
        <f>COUNTIFS(zmb_admpop_adm2_2020!#REF!,'AB-ADM2'!D450)</f>
        <v>#REF!</v>
      </c>
    </row>
    <row r="451" spans="5:5" x14ac:dyDescent="0.25">
      <c r="E451" s="8" t="e">
        <f>COUNTIFS(zmb_admpop_adm2_2020!#REF!,'AB-ADM2'!D451)</f>
        <v>#REF!</v>
      </c>
    </row>
    <row r="452" spans="5:5" x14ac:dyDescent="0.25">
      <c r="E452" s="8" t="e">
        <f>COUNTIFS(zmb_admpop_adm2_2020!#REF!,'AB-ADM2'!D452)</f>
        <v>#REF!</v>
      </c>
    </row>
    <row r="453" spans="5:5" x14ac:dyDescent="0.25">
      <c r="E453" s="8" t="e">
        <f>COUNTIFS(zmb_admpop_adm2_2020!#REF!,'AB-ADM2'!D453)</f>
        <v>#REF!</v>
      </c>
    </row>
    <row r="454" spans="5:5" x14ac:dyDescent="0.25">
      <c r="E454" s="8" t="e">
        <f>COUNTIFS(zmb_admpop_adm2_2020!#REF!,'AB-ADM2'!D454)</f>
        <v>#REF!</v>
      </c>
    </row>
    <row r="455" spans="5:5" x14ac:dyDescent="0.25">
      <c r="E455" s="8" t="e">
        <f>COUNTIFS(zmb_admpop_adm2_2020!#REF!,'AB-ADM2'!D455)</f>
        <v>#REF!</v>
      </c>
    </row>
    <row r="456" spans="5:5" x14ac:dyDescent="0.25">
      <c r="E456" s="8" t="e">
        <f>COUNTIFS(zmb_admpop_adm2_2020!#REF!,'AB-ADM2'!D456)</f>
        <v>#REF!</v>
      </c>
    </row>
    <row r="457" spans="5:5" x14ac:dyDescent="0.25">
      <c r="E457" s="8" t="e">
        <f>COUNTIFS(zmb_admpop_adm2_2020!#REF!,'AB-ADM2'!D457)</f>
        <v>#REF!</v>
      </c>
    </row>
    <row r="458" spans="5:5" x14ac:dyDescent="0.25">
      <c r="E458" s="8" t="e">
        <f>COUNTIFS(zmb_admpop_adm2_2020!#REF!,'AB-ADM2'!D458)</f>
        <v>#REF!</v>
      </c>
    </row>
    <row r="459" spans="5:5" x14ac:dyDescent="0.25">
      <c r="E459" s="8" t="e">
        <f>COUNTIFS(zmb_admpop_adm2_2020!#REF!,'AB-ADM2'!D459)</f>
        <v>#REF!</v>
      </c>
    </row>
    <row r="460" spans="5:5" x14ac:dyDescent="0.25">
      <c r="E460" s="8" t="e">
        <f>COUNTIFS(zmb_admpop_adm2_2020!#REF!,'AB-ADM2'!D460)</f>
        <v>#REF!</v>
      </c>
    </row>
    <row r="461" spans="5:5" x14ac:dyDescent="0.25">
      <c r="E461" s="8" t="e">
        <f>COUNTIFS(zmb_admpop_adm2_2020!#REF!,'AB-ADM2'!D461)</f>
        <v>#REF!</v>
      </c>
    </row>
    <row r="462" spans="5:5" x14ac:dyDescent="0.25">
      <c r="E462" s="8" t="e">
        <f>COUNTIFS(zmb_admpop_adm2_2020!#REF!,'AB-ADM2'!D462)</f>
        <v>#REF!</v>
      </c>
    </row>
    <row r="463" spans="5:5" x14ac:dyDescent="0.25">
      <c r="E463" s="8" t="e">
        <f>COUNTIFS(zmb_admpop_adm2_2020!#REF!,'AB-ADM2'!D463)</f>
        <v>#REF!</v>
      </c>
    </row>
    <row r="464" spans="5:5" x14ac:dyDescent="0.25">
      <c r="E464" s="8" t="e">
        <f>COUNTIFS(zmb_admpop_adm2_2020!#REF!,'AB-ADM2'!D464)</f>
        <v>#REF!</v>
      </c>
    </row>
    <row r="465" spans="5:5" x14ac:dyDescent="0.25">
      <c r="E465" s="8" t="e">
        <f>COUNTIFS(zmb_admpop_adm2_2020!#REF!,'AB-ADM2'!D465)</f>
        <v>#REF!</v>
      </c>
    </row>
    <row r="466" spans="5:5" x14ac:dyDescent="0.25">
      <c r="E466" s="8" t="e">
        <f>COUNTIFS(zmb_admpop_adm2_2020!#REF!,'AB-ADM2'!D466)</f>
        <v>#REF!</v>
      </c>
    </row>
    <row r="467" spans="5:5" x14ac:dyDescent="0.25">
      <c r="E467" s="8" t="e">
        <f>COUNTIFS(zmb_admpop_adm2_2020!#REF!,'AB-ADM2'!D467)</f>
        <v>#REF!</v>
      </c>
    </row>
    <row r="468" spans="5:5" x14ac:dyDescent="0.25">
      <c r="E468" s="8" t="e">
        <f>COUNTIFS(zmb_admpop_adm2_2020!#REF!,'AB-ADM2'!D468)</f>
        <v>#REF!</v>
      </c>
    </row>
    <row r="469" spans="5:5" x14ac:dyDescent="0.25">
      <c r="E469" s="8" t="e">
        <f>COUNTIFS(zmb_admpop_adm2_2020!#REF!,'AB-ADM2'!D469)</f>
        <v>#REF!</v>
      </c>
    </row>
    <row r="470" spans="5:5" x14ac:dyDescent="0.25">
      <c r="E470" s="8" t="e">
        <f>COUNTIFS(zmb_admpop_adm2_2020!#REF!,'AB-ADM2'!D470)</f>
        <v>#REF!</v>
      </c>
    </row>
    <row r="471" spans="5:5" x14ac:dyDescent="0.25">
      <c r="E471" s="8" t="e">
        <f>COUNTIFS(zmb_admpop_adm2_2020!#REF!,'AB-ADM2'!D471)</f>
        <v>#REF!</v>
      </c>
    </row>
    <row r="472" spans="5:5" x14ac:dyDescent="0.25">
      <c r="E472" s="8" t="e">
        <f>COUNTIFS(zmb_admpop_adm2_2020!#REF!,'AB-ADM2'!D472)</f>
        <v>#REF!</v>
      </c>
    </row>
    <row r="473" spans="5:5" x14ac:dyDescent="0.25">
      <c r="E473" s="8" t="e">
        <f>COUNTIFS(zmb_admpop_adm2_2020!#REF!,'AB-ADM2'!D473)</f>
        <v>#REF!</v>
      </c>
    </row>
    <row r="474" spans="5:5" x14ac:dyDescent="0.25">
      <c r="E474" s="8" t="e">
        <f>COUNTIFS(zmb_admpop_adm2_2020!#REF!,'AB-ADM2'!D474)</f>
        <v>#REF!</v>
      </c>
    </row>
    <row r="475" spans="5:5" x14ac:dyDescent="0.25">
      <c r="E475" s="8" t="e">
        <f>COUNTIFS(zmb_admpop_adm2_2020!#REF!,'AB-ADM2'!D475)</f>
        <v>#REF!</v>
      </c>
    </row>
    <row r="476" spans="5:5" x14ac:dyDescent="0.25">
      <c r="E476" s="8" t="e">
        <f>COUNTIFS(zmb_admpop_adm2_2020!#REF!,'AB-ADM2'!D476)</f>
        <v>#REF!</v>
      </c>
    </row>
    <row r="477" spans="5:5" x14ac:dyDescent="0.25">
      <c r="E477" s="8" t="e">
        <f>COUNTIFS(zmb_admpop_adm2_2020!#REF!,'AB-ADM2'!D477)</f>
        <v>#REF!</v>
      </c>
    </row>
    <row r="478" spans="5:5" x14ac:dyDescent="0.25">
      <c r="E478" s="8" t="e">
        <f>COUNTIFS(zmb_admpop_adm2_2020!#REF!,'AB-ADM2'!D478)</f>
        <v>#REF!</v>
      </c>
    </row>
    <row r="479" spans="5:5" x14ac:dyDescent="0.25">
      <c r="E479" s="8" t="e">
        <f>COUNTIFS(zmb_admpop_adm2_2020!#REF!,'AB-ADM2'!D479)</f>
        <v>#REF!</v>
      </c>
    </row>
    <row r="480" spans="5:5" x14ac:dyDescent="0.25">
      <c r="E480" s="8" t="e">
        <f>COUNTIFS(zmb_admpop_adm2_2020!#REF!,'AB-ADM2'!D480)</f>
        <v>#REF!</v>
      </c>
    </row>
    <row r="481" spans="5:5" x14ac:dyDescent="0.25">
      <c r="E481" s="8" t="e">
        <f>COUNTIFS(zmb_admpop_adm2_2020!#REF!,'AB-ADM2'!D481)</f>
        <v>#REF!</v>
      </c>
    </row>
    <row r="482" spans="5:5" x14ac:dyDescent="0.25">
      <c r="E482" s="8" t="e">
        <f>COUNTIFS(zmb_admpop_adm2_2020!#REF!,'AB-ADM2'!D482)</f>
        <v>#REF!</v>
      </c>
    </row>
    <row r="483" spans="5:5" x14ac:dyDescent="0.25">
      <c r="E483" s="8" t="e">
        <f>COUNTIFS(zmb_admpop_adm2_2020!#REF!,'AB-ADM2'!D483)</f>
        <v>#REF!</v>
      </c>
    </row>
    <row r="484" spans="5:5" x14ac:dyDescent="0.25">
      <c r="E484" s="8" t="e">
        <f>COUNTIFS(zmb_admpop_adm2_2020!#REF!,'AB-ADM2'!D484)</f>
        <v>#REF!</v>
      </c>
    </row>
    <row r="485" spans="5:5" x14ac:dyDescent="0.25">
      <c r="E485" s="8" t="e">
        <f>COUNTIFS(zmb_admpop_adm2_2020!#REF!,'AB-ADM2'!D485)</f>
        <v>#REF!</v>
      </c>
    </row>
    <row r="486" spans="5:5" x14ac:dyDescent="0.25">
      <c r="E486" s="8" t="e">
        <f>COUNTIFS(zmb_admpop_adm2_2020!#REF!,'AB-ADM2'!D486)</f>
        <v>#REF!</v>
      </c>
    </row>
    <row r="487" spans="5:5" x14ac:dyDescent="0.25">
      <c r="E487" s="8" t="e">
        <f>COUNTIFS(zmb_admpop_adm2_2020!#REF!,'AB-ADM2'!D487)</f>
        <v>#REF!</v>
      </c>
    </row>
    <row r="488" spans="5:5" x14ac:dyDescent="0.25">
      <c r="E488" s="8" t="e">
        <f>COUNTIFS(zmb_admpop_adm2_2020!#REF!,'AB-ADM2'!D488)</f>
        <v>#REF!</v>
      </c>
    </row>
    <row r="489" spans="5:5" x14ac:dyDescent="0.25">
      <c r="E489" s="8" t="e">
        <f>COUNTIFS(zmb_admpop_adm2_2020!#REF!,'AB-ADM2'!D489)</f>
        <v>#REF!</v>
      </c>
    </row>
    <row r="490" spans="5:5" x14ac:dyDescent="0.25">
      <c r="E490" s="8" t="e">
        <f>COUNTIFS(zmb_admpop_adm2_2020!#REF!,'AB-ADM2'!D490)</f>
        <v>#REF!</v>
      </c>
    </row>
    <row r="491" spans="5:5" x14ac:dyDescent="0.25">
      <c r="E491" s="8" t="e">
        <f>COUNTIFS(zmb_admpop_adm2_2020!#REF!,'AB-ADM2'!D491)</f>
        <v>#REF!</v>
      </c>
    </row>
    <row r="492" spans="5:5" x14ac:dyDescent="0.25">
      <c r="E492" s="8" t="e">
        <f>COUNTIFS(zmb_admpop_adm2_2020!#REF!,'AB-ADM2'!D492)</f>
        <v>#REF!</v>
      </c>
    </row>
    <row r="493" spans="5:5" x14ac:dyDescent="0.25">
      <c r="E493" s="8" t="e">
        <f>COUNTIFS(zmb_admpop_adm2_2020!#REF!,'AB-ADM2'!D493)</f>
        <v>#REF!</v>
      </c>
    </row>
    <row r="494" spans="5:5" x14ac:dyDescent="0.25">
      <c r="E494" s="8" t="e">
        <f>COUNTIFS(zmb_admpop_adm2_2020!#REF!,'AB-ADM2'!D494)</f>
        <v>#REF!</v>
      </c>
    </row>
    <row r="495" spans="5:5" x14ac:dyDescent="0.25">
      <c r="E495" s="8" t="e">
        <f>COUNTIFS(zmb_admpop_adm2_2020!#REF!,'AB-ADM2'!D495)</f>
        <v>#REF!</v>
      </c>
    </row>
    <row r="496" spans="5:5" x14ac:dyDescent="0.25">
      <c r="E496" s="8" t="e">
        <f>COUNTIFS(zmb_admpop_adm2_2020!#REF!,'AB-ADM2'!D496)</f>
        <v>#REF!</v>
      </c>
    </row>
    <row r="497" spans="5:5" x14ac:dyDescent="0.25">
      <c r="E497" s="8" t="e">
        <f>COUNTIFS(zmb_admpop_adm2_2020!#REF!,'AB-ADM2'!D497)</f>
        <v>#REF!</v>
      </c>
    </row>
    <row r="498" spans="5:5" x14ac:dyDescent="0.25">
      <c r="E498" s="8" t="e">
        <f>COUNTIFS(zmb_admpop_adm2_2020!#REF!,'AB-ADM2'!D498)</f>
        <v>#REF!</v>
      </c>
    </row>
    <row r="499" spans="5:5" x14ac:dyDescent="0.25">
      <c r="E499" s="8" t="e">
        <f>COUNTIFS(zmb_admpop_adm2_2020!#REF!,'AB-ADM2'!D499)</f>
        <v>#REF!</v>
      </c>
    </row>
    <row r="500" spans="5:5" x14ac:dyDescent="0.25">
      <c r="E500" s="8" t="e">
        <f>COUNTIFS(zmb_admpop_adm2_2020!#REF!,'AB-ADM2'!D500)</f>
        <v>#REF!</v>
      </c>
    </row>
    <row r="501" spans="5:5" x14ac:dyDescent="0.25">
      <c r="E501" s="8" t="e">
        <f>COUNTIFS(zmb_admpop_adm2_2020!#REF!,'AB-ADM2'!D501)</f>
        <v>#REF!</v>
      </c>
    </row>
    <row r="502" spans="5:5" x14ac:dyDescent="0.25">
      <c r="E502" s="8" t="e">
        <f>COUNTIFS(zmb_admpop_adm2_2020!#REF!,'AB-ADM2'!D502)</f>
        <v>#REF!</v>
      </c>
    </row>
    <row r="503" spans="5:5" x14ac:dyDescent="0.25">
      <c r="E503" s="8" t="e">
        <f>COUNTIFS(zmb_admpop_adm2_2020!#REF!,'AB-ADM2'!D503)</f>
        <v>#REF!</v>
      </c>
    </row>
    <row r="504" spans="5:5" x14ac:dyDescent="0.25">
      <c r="E504" s="8" t="e">
        <f>COUNTIFS(zmb_admpop_adm2_2020!#REF!,'AB-ADM2'!D504)</f>
        <v>#REF!</v>
      </c>
    </row>
    <row r="505" spans="5:5" x14ac:dyDescent="0.25">
      <c r="E505" s="8" t="e">
        <f>COUNTIFS(zmb_admpop_adm2_2020!#REF!,'AB-ADM2'!D505)</f>
        <v>#REF!</v>
      </c>
    </row>
    <row r="506" spans="5:5" x14ac:dyDescent="0.25">
      <c r="E506" s="8" t="e">
        <f>COUNTIFS(zmb_admpop_adm2_2020!#REF!,'AB-ADM2'!D506)</f>
        <v>#REF!</v>
      </c>
    </row>
    <row r="507" spans="5:5" x14ac:dyDescent="0.25">
      <c r="E507" s="8" t="e">
        <f>COUNTIFS(zmb_admpop_adm2_2020!#REF!,'AB-ADM2'!D507)</f>
        <v>#REF!</v>
      </c>
    </row>
    <row r="508" spans="5:5" x14ac:dyDescent="0.25">
      <c r="E508" s="8" t="e">
        <f>COUNTIFS(zmb_admpop_adm2_2020!#REF!,'AB-ADM2'!D508)</f>
        <v>#REF!</v>
      </c>
    </row>
    <row r="509" spans="5:5" x14ac:dyDescent="0.25">
      <c r="E509" s="8" t="e">
        <f>COUNTIFS(zmb_admpop_adm2_2020!#REF!,'AB-ADM2'!D509)</f>
        <v>#REF!</v>
      </c>
    </row>
    <row r="510" spans="5:5" x14ac:dyDescent="0.25">
      <c r="E510" s="8" t="e">
        <f>COUNTIFS(zmb_admpop_adm2_2020!#REF!,'AB-ADM2'!D510)</f>
        <v>#REF!</v>
      </c>
    </row>
    <row r="511" spans="5:5" x14ac:dyDescent="0.25">
      <c r="E511" s="8" t="e">
        <f>COUNTIFS(zmb_admpop_adm2_2020!#REF!,'AB-ADM2'!D511)</f>
        <v>#REF!</v>
      </c>
    </row>
    <row r="512" spans="5:5" x14ac:dyDescent="0.25">
      <c r="E512" s="8" t="e">
        <f>COUNTIFS(zmb_admpop_adm2_2020!#REF!,'AB-ADM2'!D512)</f>
        <v>#REF!</v>
      </c>
    </row>
    <row r="513" spans="5:5" x14ac:dyDescent="0.25">
      <c r="E513" s="8" t="e">
        <f>COUNTIFS(zmb_admpop_adm2_2020!#REF!,'AB-ADM2'!D513)</f>
        <v>#REF!</v>
      </c>
    </row>
    <row r="514" spans="5:5" x14ac:dyDescent="0.25">
      <c r="E514" s="8" t="e">
        <f>COUNTIFS(zmb_admpop_adm2_2020!#REF!,'AB-ADM2'!D514)</f>
        <v>#REF!</v>
      </c>
    </row>
    <row r="515" spans="5:5" x14ac:dyDescent="0.25">
      <c r="E515" s="8" t="e">
        <f>COUNTIFS(zmb_admpop_adm2_2020!#REF!,'AB-ADM2'!D515)</f>
        <v>#REF!</v>
      </c>
    </row>
    <row r="516" spans="5:5" x14ac:dyDescent="0.25">
      <c r="E516" s="8" t="e">
        <f>COUNTIFS(zmb_admpop_adm2_2020!#REF!,'AB-ADM2'!D516)</f>
        <v>#REF!</v>
      </c>
    </row>
    <row r="517" spans="5:5" x14ac:dyDescent="0.25">
      <c r="E517" s="8" t="e">
        <f>COUNTIFS(zmb_admpop_adm2_2020!#REF!,'AB-ADM2'!D517)</f>
        <v>#REF!</v>
      </c>
    </row>
    <row r="518" spans="5:5" x14ac:dyDescent="0.25">
      <c r="E518" s="8" t="e">
        <f>COUNTIFS(zmb_admpop_adm2_2020!#REF!,'AB-ADM2'!D518)</f>
        <v>#REF!</v>
      </c>
    </row>
    <row r="519" spans="5:5" x14ac:dyDescent="0.25">
      <c r="E519" s="8" t="e">
        <f>COUNTIFS(zmb_admpop_adm2_2020!#REF!,'AB-ADM2'!D519)</f>
        <v>#REF!</v>
      </c>
    </row>
    <row r="520" spans="5:5" x14ac:dyDescent="0.25">
      <c r="E520" s="8" t="e">
        <f>COUNTIFS(zmb_admpop_adm2_2020!#REF!,'AB-ADM2'!D520)</f>
        <v>#REF!</v>
      </c>
    </row>
  </sheetData>
  <autoFilter ref="A1:L520" xr:uid="{20B0B2AC-22DC-4BE2-B9E7-E90D3F4F1E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9170-E6B6-4006-AF3A-41F879D5762D}">
  <sheetPr>
    <outlinePr summaryBelow="0" summaryRight="0"/>
  </sheetPr>
  <dimension ref="A1:BE2"/>
  <sheetViews>
    <sheetView workbookViewId="0">
      <pane ySplit="1" topLeftCell="A2" activePane="bottomLeft" state="frozen"/>
      <selection pane="bottomLeft" activeCell="B2" sqref="B2"/>
    </sheetView>
  </sheetViews>
  <sheetFormatPr defaultColWidth="14.44140625" defaultRowHeight="15.75" customHeight="1" x14ac:dyDescent="0.25"/>
  <sheetData>
    <row r="1" spans="1:57" x14ac:dyDescent="0.25">
      <c r="A1" s="1" t="s">
        <v>37</v>
      </c>
      <c r="B1" s="13" t="s">
        <v>544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</row>
    <row r="2" spans="1:57" x14ac:dyDescent="0.25">
      <c r="A2" s="12" t="s">
        <v>3</v>
      </c>
      <c r="B2" s="12" t="s">
        <v>291</v>
      </c>
      <c r="C2" s="2">
        <v>2020</v>
      </c>
      <c r="D2" s="3">
        <v>17426623</v>
      </c>
      <c r="E2" s="3">
        <v>3092857</v>
      </c>
      <c r="F2" s="3">
        <v>2628833</v>
      </c>
      <c r="G2" s="3">
        <v>2248413</v>
      </c>
      <c r="H2" s="3">
        <v>1890158</v>
      </c>
      <c r="I2" s="3">
        <v>1601246</v>
      </c>
      <c r="J2" s="3">
        <v>1334942</v>
      </c>
      <c r="K2" s="3">
        <v>1094554</v>
      </c>
      <c r="L2" s="3">
        <v>910445</v>
      </c>
      <c r="M2" s="3">
        <v>758878</v>
      </c>
      <c r="N2" s="3">
        <v>551439</v>
      </c>
      <c r="O2" s="3">
        <v>396163</v>
      </c>
      <c r="P2" s="3">
        <v>295869</v>
      </c>
      <c r="Q2" s="3">
        <v>227928</v>
      </c>
      <c r="R2" s="3">
        <v>151843</v>
      </c>
      <c r="S2" s="3">
        <v>114520</v>
      </c>
      <c r="T2" s="3">
        <v>71521</v>
      </c>
      <c r="U2" s="3">
        <v>57014</v>
      </c>
      <c r="V2" s="3">
        <v>8706249</v>
      </c>
      <c r="W2" s="3">
        <v>1558569</v>
      </c>
      <c r="X2" s="3">
        <v>1319564</v>
      </c>
      <c r="Y2" s="3">
        <v>1127001</v>
      </c>
      <c r="Z2" s="3">
        <v>945738</v>
      </c>
      <c r="AA2" s="3">
        <v>799105</v>
      </c>
      <c r="AB2" s="3">
        <v>666686</v>
      </c>
      <c r="AC2" s="3">
        <v>547864</v>
      </c>
      <c r="AD2" s="3">
        <v>457653</v>
      </c>
      <c r="AE2" s="3">
        <v>384148</v>
      </c>
      <c r="AF2" s="3">
        <v>282257</v>
      </c>
      <c r="AG2" s="3">
        <v>201089</v>
      </c>
      <c r="AH2" s="3">
        <v>141032</v>
      </c>
      <c r="AI2" s="3">
        <v>101961</v>
      </c>
      <c r="AJ2" s="3">
        <v>70814</v>
      </c>
      <c r="AK2" s="3">
        <v>51035</v>
      </c>
      <c r="AL2" s="3">
        <v>30491</v>
      </c>
      <c r="AM2" s="3">
        <v>21242</v>
      </c>
      <c r="AN2" s="3">
        <v>8720374</v>
      </c>
      <c r="AO2" s="3">
        <v>1534288</v>
      </c>
      <c r="AP2" s="3">
        <v>1309269</v>
      </c>
      <c r="AQ2" s="3">
        <v>1121412</v>
      </c>
      <c r="AR2" s="3">
        <v>944420</v>
      </c>
      <c r="AS2" s="3">
        <v>802141</v>
      </c>
      <c r="AT2" s="3">
        <v>668256</v>
      </c>
      <c r="AU2" s="3">
        <v>546690</v>
      </c>
      <c r="AV2" s="3">
        <v>452792</v>
      </c>
      <c r="AW2" s="3">
        <v>374730</v>
      </c>
      <c r="AX2" s="3">
        <v>269182</v>
      </c>
      <c r="AY2" s="3">
        <v>195074</v>
      </c>
      <c r="AZ2" s="3">
        <v>154837</v>
      </c>
      <c r="BA2" s="3">
        <v>125967</v>
      </c>
      <c r="BB2" s="3">
        <v>81029</v>
      </c>
      <c r="BC2" s="3">
        <v>63485</v>
      </c>
      <c r="BD2" s="3">
        <v>41030</v>
      </c>
      <c r="BE2" s="3">
        <v>35772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02D6-C8DD-4619-85AC-27ADFAE8B59E}">
  <sheetPr>
    <outlinePr summaryBelow="0" summaryRight="0"/>
  </sheetPr>
  <dimension ref="A1:BG11"/>
  <sheetViews>
    <sheetView workbookViewId="0">
      <pane ySplit="1" topLeftCell="A2" activePane="bottomLeft" state="frozen"/>
      <selection pane="bottomLeft" activeCell="E27" sqref="E27"/>
    </sheetView>
  </sheetViews>
  <sheetFormatPr defaultColWidth="14.44140625" defaultRowHeight="15.75" customHeight="1" x14ac:dyDescent="0.25"/>
  <cols>
    <col min="6" max="59" width="14.44140625" style="11"/>
  </cols>
  <sheetData>
    <row r="1" spans="1:59" x14ac:dyDescent="0.25">
      <c r="A1" s="1" t="s">
        <v>37</v>
      </c>
      <c r="B1" s="13" t="s">
        <v>544</v>
      </c>
      <c r="C1" s="1" t="s">
        <v>38</v>
      </c>
      <c r="D1" s="13" t="s">
        <v>545</v>
      </c>
      <c r="E1" s="1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9" t="s">
        <v>57</v>
      </c>
      <c r="V1" s="9" t="s">
        <v>58</v>
      </c>
      <c r="W1" s="9" t="s">
        <v>59</v>
      </c>
      <c r="X1" s="9" t="s">
        <v>60</v>
      </c>
      <c r="Y1" s="9" t="s">
        <v>61</v>
      </c>
      <c r="Z1" s="9" t="s">
        <v>62</v>
      </c>
      <c r="AA1" s="9" t="s">
        <v>63</v>
      </c>
      <c r="AB1" s="9" t="s">
        <v>64</v>
      </c>
      <c r="AC1" s="9" t="s">
        <v>65</v>
      </c>
      <c r="AD1" s="9" t="s">
        <v>66</v>
      </c>
      <c r="AE1" s="9" t="s">
        <v>67</v>
      </c>
      <c r="AF1" s="9" t="s">
        <v>68</v>
      </c>
      <c r="AG1" s="9" t="s">
        <v>69</v>
      </c>
      <c r="AH1" s="9" t="s">
        <v>70</v>
      </c>
      <c r="AI1" s="9" t="s">
        <v>71</v>
      </c>
      <c r="AJ1" s="9" t="s">
        <v>72</v>
      </c>
      <c r="AK1" s="9" t="s">
        <v>73</v>
      </c>
      <c r="AL1" s="9" t="s">
        <v>74</v>
      </c>
      <c r="AM1" s="9" t="s">
        <v>75</v>
      </c>
      <c r="AN1" s="9" t="s">
        <v>76</v>
      </c>
      <c r="AO1" s="9" t="s">
        <v>77</v>
      </c>
      <c r="AP1" s="9" t="s">
        <v>78</v>
      </c>
      <c r="AQ1" s="9" t="s">
        <v>79</v>
      </c>
      <c r="AR1" s="9" t="s">
        <v>80</v>
      </c>
      <c r="AS1" s="9" t="s">
        <v>81</v>
      </c>
      <c r="AT1" s="9" t="s">
        <v>82</v>
      </c>
      <c r="AU1" s="9" t="s">
        <v>83</v>
      </c>
      <c r="AV1" s="9" t="s">
        <v>84</v>
      </c>
      <c r="AW1" s="9" t="s">
        <v>85</v>
      </c>
      <c r="AX1" s="9" t="s">
        <v>86</v>
      </c>
      <c r="AY1" s="9" t="s">
        <v>87</v>
      </c>
      <c r="AZ1" s="9" t="s">
        <v>88</v>
      </c>
      <c r="BA1" s="9" t="s">
        <v>89</v>
      </c>
      <c r="BB1" s="9" t="s">
        <v>90</v>
      </c>
      <c r="BC1" s="9" t="s">
        <v>91</v>
      </c>
      <c r="BD1" s="9" t="s">
        <v>92</v>
      </c>
      <c r="BE1" s="9" t="s">
        <v>93</v>
      </c>
      <c r="BF1" s="9" t="s">
        <v>94</v>
      </c>
      <c r="BG1" s="9" t="s">
        <v>95</v>
      </c>
    </row>
    <row r="2" spans="1:59" x14ac:dyDescent="0.25">
      <c r="A2" s="12" t="s">
        <v>3</v>
      </c>
      <c r="B2" s="12" t="s">
        <v>291</v>
      </c>
      <c r="C2" s="2" t="s">
        <v>138</v>
      </c>
      <c r="D2" s="2" t="s">
        <v>335</v>
      </c>
      <c r="E2" s="2">
        <v>2020</v>
      </c>
      <c r="F2" s="10">
        <v>2119981</v>
      </c>
      <c r="G2" s="10">
        <v>391374</v>
      </c>
      <c r="H2" s="10">
        <v>338535</v>
      </c>
      <c r="I2" s="10">
        <v>281180</v>
      </c>
      <c r="J2" s="10">
        <v>222399</v>
      </c>
      <c r="K2" s="10">
        <v>182592</v>
      </c>
      <c r="L2" s="10">
        <v>148372</v>
      </c>
      <c r="M2" s="10">
        <v>119913</v>
      </c>
      <c r="N2" s="10">
        <v>103763</v>
      </c>
      <c r="O2" s="10">
        <v>87438</v>
      </c>
      <c r="P2" s="10">
        <v>66519</v>
      </c>
      <c r="Q2" s="10">
        <v>47552</v>
      </c>
      <c r="R2" s="10">
        <v>36973</v>
      </c>
      <c r="S2" s="10">
        <v>31889</v>
      </c>
      <c r="T2" s="10">
        <v>22182</v>
      </c>
      <c r="U2" s="10">
        <v>18021</v>
      </c>
      <c r="V2" s="10">
        <v>11365</v>
      </c>
      <c r="W2" s="10">
        <v>9914</v>
      </c>
      <c r="X2" s="10">
        <v>1056542</v>
      </c>
      <c r="Y2" s="10">
        <v>196678</v>
      </c>
      <c r="Z2" s="10">
        <v>170815</v>
      </c>
      <c r="AA2" s="10">
        <v>143846</v>
      </c>
      <c r="AB2" s="10">
        <v>114448</v>
      </c>
      <c r="AC2" s="10">
        <v>92536</v>
      </c>
      <c r="AD2" s="10">
        <v>73997</v>
      </c>
      <c r="AE2" s="10">
        <v>59737</v>
      </c>
      <c r="AF2" s="10">
        <v>50846</v>
      </c>
      <c r="AG2" s="10">
        <v>42668</v>
      </c>
      <c r="AH2" s="10">
        <v>33579</v>
      </c>
      <c r="AI2" s="10">
        <v>23543</v>
      </c>
      <c r="AJ2" s="10">
        <v>16816</v>
      </c>
      <c r="AK2" s="10">
        <v>12829</v>
      </c>
      <c r="AL2" s="10">
        <v>9375</v>
      </c>
      <c r="AM2" s="10">
        <v>7101</v>
      </c>
      <c r="AN2" s="10">
        <v>4437</v>
      </c>
      <c r="AO2" s="10">
        <v>3291</v>
      </c>
      <c r="AP2" s="10">
        <v>1063439</v>
      </c>
      <c r="AQ2" s="10">
        <v>194696</v>
      </c>
      <c r="AR2" s="10">
        <v>167720</v>
      </c>
      <c r="AS2" s="10">
        <v>137334</v>
      </c>
      <c r="AT2" s="10">
        <v>107951</v>
      </c>
      <c r="AU2" s="10">
        <v>90056</v>
      </c>
      <c r="AV2" s="10">
        <v>74375</v>
      </c>
      <c r="AW2" s="10">
        <v>60176</v>
      </c>
      <c r="AX2" s="10">
        <v>52917</v>
      </c>
      <c r="AY2" s="10">
        <v>44770</v>
      </c>
      <c r="AZ2" s="10">
        <v>32940</v>
      </c>
      <c r="BA2" s="10">
        <v>24009</v>
      </c>
      <c r="BB2" s="10">
        <v>20157</v>
      </c>
      <c r="BC2" s="10">
        <v>19060</v>
      </c>
      <c r="BD2" s="10">
        <v>12807</v>
      </c>
      <c r="BE2" s="10">
        <v>10920</v>
      </c>
      <c r="BF2" s="10">
        <v>6928</v>
      </c>
      <c r="BG2" s="10">
        <v>6623</v>
      </c>
    </row>
    <row r="3" spans="1:59" x14ac:dyDescent="0.25">
      <c r="A3" s="12" t="s">
        <v>3</v>
      </c>
      <c r="B3" s="12" t="s">
        <v>291</v>
      </c>
      <c r="C3" s="2" t="s">
        <v>113</v>
      </c>
      <c r="D3" s="2" t="s">
        <v>404</v>
      </c>
      <c r="E3" s="2">
        <v>2020</v>
      </c>
      <c r="F3" s="10">
        <v>964189</v>
      </c>
      <c r="G3" s="10">
        <v>184904</v>
      </c>
      <c r="H3" s="10">
        <v>160863</v>
      </c>
      <c r="I3" s="10">
        <v>127347</v>
      </c>
      <c r="J3" s="10">
        <v>99486</v>
      </c>
      <c r="K3" s="10">
        <v>81616</v>
      </c>
      <c r="L3" s="10">
        <v>67022</v>
      </c>
      <c r="M3" s="10">
        <v>52145</v>
      </c>
      <c r="N3" s="10">
        <v>45627</v>
      </c>
      <c r="O3" s="10">
        <v>39315</v>
      </c>
      <c r="P3" s="10">
        <v>29774</v>
      </c>
      <c r="Q3" s="10">
        <v>21181</v>
      </c>
      <c r="R3" s="10">
        <v>15687</v>
      </c>
      <c r="S3" s="10">
        <v>13702</v>
      </c>
      <c r="T3" s="10">
        <v>9720</v>
      </c>
      <c r="U3" s="10">
        <v>7646</v>
      </c>
      <c r="V3" s="10">
        <v>4774</v>
      </c>
      <c r="W3" s="10">
        <v>3380</v>
      </c>
      <c r="X3" s="10">
        <v>479655</v>
      </c>
      <c r="Y3" s="10">
        <v>92997</v>
      </c>
      <c r="Z3" s="10">
        <v>81118</v>
      </c>
      <c r="AA3" s="10">
        <v>65049</v>
      </c>
      <c r="AB3" s="10">
        <v>49885</v>
      </c>
      <c r="AC3" s="10">
        <v>39893</v>
      </c>
      <c r="AD3" s="10">
        <v>32845</v>
      </c>
      <c r="AE3" s="10">
        <v>25866</v>
      </c>
      <c r="AF3" s="10">
        <v>22173</v>
      </c>
      <c r="AG3" s="10">
        <v>19367</v>
      </c>
      <c r="AH3" s="10">
        <v>15031</v>
      </c>
      <c r="AI3" s="10">
        <v>10770</v>
      </c>
      <c r="AJ3" s="10">
        <v>7363</v>
      </c>
      <c r="AK3" s="10">
        <v>5771</v>
      </c>
      <c r="AL3" s="10">
        <v>4439</v>
      </c>
      <c r="AM3" s="10">
        <v>3529</v>
      </c>
      <c r="AN3" s="10">
        <v>2146</v>
      </c>
      <c r="AO3" s="10">
        <v>1413</v>
      </c>
      <c r="AP3" s="10">
        <v>484534</v>
      </c>
      <c r="AQ3" s="10">
        <v>91907</v>
      </c>
      <c r="AR3" s="10">
        <v>79745</v>
      </c>
      <c r="AS3" s="10">
        <v>62298</v>
      </c>
      <c r="AT3" s="10">
        <v>49601</v>
      </c>
      <c r="AU3" s="10">
        <v>41723</v>
      </c>
      <c r="AV3" s="10">
        <v>34177</v>
      </c>
      <c r="AW3" s="10">
        <v>26279</v>
      </c>
      <c r="AX3" s="10">
        <v>23454</v>
      </c>
      <c r="AY3" s="10">
        <v>19948</v>
      </c>
      <c r="AZ3" s="10">
        <v>14743</v>
      </c>
      <c r="BA3" s="10">
        <v>10411</v>
      </c>
      <c r="BB3" s="10">
        <v>8324</v>
      </c>
      <c r="BC3" s="10">
        <v>7931</v>
      </c>
      <c r="BD3" s="10">
        <v>5281</v>
      </c>
      <c r="BE3" s="10">
        <v>4117</v>
      </c>
      <c r="BF3" s="10">
        <v>2628</v>
      </c>
      <c r="BG3" s="10">
        <v>1967</v>
      </c>
    </row>
    <row r="4" spans="1:59" x14ac:dyDescent="0.25">
      <c r="A4" s="12" t="s">
        <v>3</v>
      </c>
      <c r="B4" s="12" t="s">
        <v>291</v>
      </c>
      <c r="C4" s="2" t="s">
        <v>215</v>
      </c>
      <c r="D4" s="2" t="s">
        <v>422</v>
      </c>
      <c r="E4" s="2">
        <v>2020</v>
      </c>
      <c r="F4" s="10">
        <v>927181</v>
      </c>
      <c r="G4" s="10">
        <v>179539</v>
      </c>
      <c r="H4" s="10">
        <v>150049</v>
      </c>
      <c r="I4" s="10">
        <v>123876</v>
      </c>
      <c r="J4" s="10">
        <v>99246</v>
      </c>
      <c r="K4" s="10">
        <v>79025</v>
      </c>
      <c r="L4" s="10">
        <v>65928</v>
      </c>
      <c r="M4" s="10">
        <v>52379</v>
      </c>
      <c r="N4" s="10">
        <v>42957</v>
      </c>
      <c r="O4" s="10">
        <v>38178</v>
      </c>
      <c r="P4" s="10">
        <v>27695</v>
      </c>
      <c r="Q4" s="10">
        <v>19246</v>
      </c>
      <c r="R4" s="10">
        <v>14767</v>
      </c>
      <c r="S4" s="10">
        <v>11589</v>
      </c>
      <c r="T4" s="10">
        <v>8161</v>
      </c>
      <c r="U4" s="10">
        <v>6490</v>
      </c>
      <c r="V4" s="10">
        <v>4415</v>
      </c>
      <c r="W4" s="10">
        <v>3641</v>
      </c>
      <c r="X4" s="10">
        <v>462418</v>
      </c>
      <c r="Y4" s="10">
        <v>90438</v>
      </c>
      <c r="Z4" s="10">
        <v>75504</v>
      </c>
      <c r="AA4" s="10">
        <v>62643</v>
      </c>
      <c r="AB4" s="10">
        <v>50154</v>
      </c>
      <c r="AC4" s="10">
        <v>39872</v>
      </c>
      <c r="AD4" s="10">
        <v>32627</v>
      </c>
      <c r="AE4" s="10">
        <v>26009</v>
      </c>
      <c r="AF4" s="10">
        <v>20792</v>
      </c>
      <c r="AG4" s="10">
        <v>18550</v>
      </c>
      <c r="AH4" s="10">
        <v>14028</v>
      </c>
      <c r="AI4" s="10">
        <v>9705</v>
      </c>
      <c r="AJ4" s="10">
        <v>7008</v>
      </c>
      <c r="AK4" s="10">
        <v>5069</v>
      </c>
      <c r="AL4" s="10">
        <v>3648</v>
      </c>
      <c r="AM4" s="10">
        <v>2935</v>
      </c>
      <c r="AN4" s="10">
        <v>1934</v>
      </c>
      <c r="AO4" s="10">
        <v>1502</v>
      </c>
      <c r="AP4" s="10">
        <v>464763</v>
      </c>
      <c r="AQ4" s="10">
        <v>89101</v>
      </c>
      <c r="AR4" s="10">
        <v>74545</v>
      </c>
      <c r="AS4" s="10">
        <v>61233</v>
      </c>
      <c r="AT4" s="10">
        <v>49092</v>
      </c>
      <c r="AU4" s="10">
        <v>39153</v>
      </c>
      <c r="AV4" s="10">
        <v>33301</v>
      </c>
      <c r="AW4" s="10">
        <v>26370</v>
      </c>
      <c r="AX4" s="10">
        <v>22165</v>
      </c>
      <c r="AY4" s="10">
        <v>19628</v>
      </c>
      <c r="AZ4" s="10">
        <v>13667</v>
      </c>
      <c r="BA4" s="10">
        <v>9541</v>
      </c>
      <c r="BB4" s="10">
        <v>7759</v>
      </c>
      <c r="BC4" s="10">
        <v>6520</v>
      </c>
      <c r="BD4" s="10">
        <v>4513</v>
      </c>
      <c r="BE4" s="10">
        <v>3555</v>
      </c>
      <c r="BF4" s="10">
        <v>2481</v>
      </c>
      <c r="BG4" s="10">
        <v>2139</v>
      </c>
    </row>
    <row r="5" spans="1:59" x14ac:dyDescent="0.25">
      <c r="A5" s="12" t="s">
        <v>3</v>
      </c>
      <c r="B5" s="12" t="s">
        <v>291</v>
      </c>
      <c r="C5" s="2" t="s">
        <v>96</v>
      </c>
      <c r="D5" s="2" t="s">
        <v>290</v>
      </c>
      <c r="E5" s="2">
        <v>2020</v>
      </c>
      <c r="F5" s="10">
        <v>1654706</v>
      </c>
      <c r="G5" s="10">
        <v>299967</v>
      </c>
      <c r="H5" s="10">
        <v>258234</v>
      </c>
      <c r="I5" s="10">
        <v>222533</v>
      </c>
      <c r="J5" s="10">
        <v>184065</v>
      </c>
      <c r="K5" s="10">
        <v>147410</v>
      </c>
      <c r="L5" s="10">
        <v>114608</v>
      </c>
      <c r="M5" s="10">
        <v>95555</v>
      </c>
      <c r="N5" s="10">
        <v>81444</v>
      </c>
      <c r="O5" s="10">
        <v>69942</v>
      </c>
      <c r="P5" s="10">
        <v>51460</v>
      </c>
      <c r="Q5" s="10">
        <v>38074</v>
      </c>
      <c r="R5" s="10">
        <v>28566</v>
      </c>
      <c r="S5" s="10">
        <v>22791</v>
      </c>
      <c r="T5" s="10">
        <v>15353</v>
      </c>
      <c r="U5" s="10">
        <v>11527</v>
      </c>
      <c r="V5" s="10">
        <v>7601</v>
      </c>
      <c r="W5" s="10">
        <v>5576</v>
      </c>
      <c r="X5" s="10">
        <v>831446</v>
      </c>
      <c r="Y5" s="10">
        <v>150948</v>
      </c>
      <c r="Z5" s="10">
        <v>130298</v>
      </c>
      <c r="AA5" s="10">
        <v>112354</v>
      </c>
      <c r="AB5" s="10">
        <v>93562</v>
      </c>
      <c r="AC5" s="10">
        <v>75381</v>
      </c>
      <c r="AD5" s="10">
        <v>57379</v>
      </c>
      <c r="AE5" s="10">
        <v>47192</v>
      </c>
      <c r="AF5" s="10">
        <v>40608</v>
      </c>
      <c r="AG5" s="10">
        <v>35431</v>
      </c>
      <c r="AH5" s="10">
        <v>26183</v>
      </c>
      <c r="AI5" s="10">
        <v>19262</v>
      </c>
      <c r="AJ5" s="10">
        <v>13786</v>
      </c>
      <c r="AK5" s="10">
        <v>10467</v>
      </c>
      <c r="AL5" s="10">
        <v>7445</v>
      </c>
      <c r="AM5" s="10">
        <v>5502</v>
      </c>
      <c r="AN5" s="10">
        <v>3336</v>
      </c>
      <c r="AO5" s="10">
        <v>2312</v>
      </c>
      <c r="AP5" s="10">
        <v>823260</v>
      </c>
      <c r="AQ5" s="10">
        <v>149019</v>
      </c>
      <c r="AR5" s="10">
        <v>127936</v>
      </c>
      <c r="AS5" s="10">
        <v>110179</v>
      </c>
      <c r="AT5" s="10">
        <v>90503</v>
      </c>
      <c r="AU5" s="10">
        <v>72029</v>
      </c>
      <c r="AV5" s="10">
        <v>57229</v>
      </c>
      <c r="AW5" s="10">
        <v>48363</v>
      </c>
      <c r="AX5" s="10">
        <v>40836</v>
      </c>
      <c r="AY5" s="10">
        <v>34511</v>
      </c>
      <c r="AZ5" s="10">
        <v>25277</v>
      </c>
      <c r="BA5" s="10">
        <v>18812</v>
      </c>
      <c r="BB5" s="10">
        <v>14780</v>
      </c>
      <c r="BC5" s="10">
        <v>12324</v>
      </c>
      <c r="BD5" s="10">
        <v>7908</v>
      </c>
      <c r="BE5" s="10">
        <v>6025</v>
      </c>
      <c r="BF5" s="10">
        <v>4265</v>
      </c>
      <c r="BG5" s="10">
        <v>3264</v>
      </c>
    </row>
    <row r="6" spans="1:59" x14ac:dyDescent="0.25">
      <c r="A6" s="12" t="s">
        <v>3</v>
      </c>
      <c r="B6" s="12" t="s">
        <v>291</v>
      </c>
      <c r="C6" s="2" t="s">
        <v>158</v>
      </c>
      <c r="D6" s="2" t="s">
        <v>363</v>
      </c>
      <c r="E6" s="2">
        <v>2020</v>
      </c>
      <c r="F6" s="10">
        <v>1243727</v>
      </c>
      <c r="G6" s="10">
        <v>235994</v>
      </c>
      <c r="H6" s="10">
        <v>200495</v>
      </c>
      <c r="I6" s="10">
        <v>164082</v>
      </c>
      <c r="J6" s="10">
        <v>126569</v>
      </c>
      <c r="K6" s="10">
        <v>99779</v>
      </c>
      <c r="L6" s="10">
        <v>84918</v>
      </c>
      <c r="M6" s="10">
        <v>71124</v>
      </c>
      <c r="N6" s="10">
        <v>61440</v>
      </c>
      <c r="O6" s="10">
        <v>55744</v>
      </c>
      <c r="P6" s="10">
        <v>41404</v>
      </c>
      <c r="Q6" s="10">
        <v>31079</v>
      </c>
      <c r="R6" s="10">
        <v>23220</v>
      </c>
      <c r="S6" s="10">
        <v>18676</v>
      </c>
      <c r="T6" s="10">
        <v>12097</v>
      </c>
      <c r="U6" s="10">
        <v>8825</v>
      </c>
      <c r="V6" s="10">
        <v>5039</v>
      </c>
      <c r="W6" s="10">
        <v>3242</v>
      </c>
      <c r="X6" s="10">
        <v>620157</v>
      </c>
      <c r="Y6" s="10">
        <v>118812</v>
      </c>
      <c r="Z6" s="10">
        <v>101326</v>
      </c>
      <c r="AA6" s="10">
        <v>83927</v>
      </c>
      <c r="AB6" s="10">
        <v>63902</v>
      </c>
      <c r="AC6" s="10">
        <v>48282</v>
      </c>
      <c r="AD6" s="10">
        <v>40783</v>
      </c>
      <c r="AE6" s="10">
        <v>34943</v>
      </c>
      <c r="AF6" s="10">
        <v>30038</v>
      </c>
      <c r="AG6" s="10">
        <v>28010</v>
      </c>
      <c r="AH6" s="10">
        <v>21364</v>
      </c>
      <c r="AI6" s="10">
        <v>16129</v>
      </c>
      <c r="AJ6" s="10">
        <v>10742</v>
      </c>
      <c r="AK6" s="10">
        <v>8308</v>
      </c>
      <c r="AL6" s="10">
        <v>5753</v>
      </c>
      <c r="AM6" s="10">
        <v>4109</v>
      </c>
      <c r="AN6" s="10">
        <v>2391</v>
      </c>
      <c r="AO6" s="10">
        <v>1338</v>
      </c>
      <c r="AP6" s="10">
        <v>623570</v>
      </c>
      <c r="AQ6" s="10">
        <v>117182</v>
      </c>
      <c r="AR6" s="10">
        <v>99169</v>
      </c>
      <c r="AS6" s="10">
        <v>80155</v>
      </c>
      <c r="AT6" s="10">
        <v>62667</v>
      </c>
      <c r="AU6" s="10">
        <v>51497</v>
      </c>
      <c r="AV6" s="10">
        <v>44135</v>
      </c>
      <c r="AW6" s="10">
        <v>36181</v>
      </c>
      <c r="AX6" s="10">
        <v>31402</v>
      </c>
      <c r="AY6" s="10">
        <v>27734</v>
      </c>
      <c r="AZ6" s="10">
        <v>20040</v>
      </c>
      <c r="BA6" s="10">
        <v>14950</v>
      </c>
      <c r="BB6" s="10">
        <v>12478</v>
      </c>
      <c r="BC6" s="10">
        <v>10368</v>
      </c>
      <c r="BD6" s="10">
        <v>6344</v>
      </c>
      <c r="BE6" s="10">
        <v>4716</v>
      </c>
      <c r="BF6" s="10">
        <v>2648</v>
      </c>
      <c r="BG6" s="10">
        <v>1904</v>
      </c>
    </row>
    <row r="7" spans="1:59" x14ac:dyDescent="0.25">
      <c r="A7" s="12" t="s">
        <v>3</v>
      </c>
      <c r="B7" s="12" t="s">
        <v>291</v>
      </c>
      <c r="C7" s="2" t="s">
        <v>114</v>
      </c>
      <c r="D7" s="2" t="s">
        <v>313</v>
      </c>
      <c r="E7" s="2">
        <v>2020</v>
      </c>
      <c r="F7" s="10">
        <v>2429638</v>
      </c>
      <c r="G7" s="10">
        <v>370226</v>
      </c>
      <c r="H7" s="10">
        <v>322504</v>
      </c>
      <c r="I7" s="10">
        <v>311107</v>
      </c>
      <c r="J7" s="10">
        <v>290003</v>
      </c>
      <c r="K7" s="10">
        <v>237297</v>
      </c>
      <c r="L7" s="10">
        <v>199873</v>
      </c>
      <c r="M7" s="10">
        <v>163769</v>
      </c>
      <c r="N7" s="10">
        <v>134788</v>
      </c>
      <c r="O7" s="10">
        <v>115189</v>
      </c>
      <c r="P7" s="10">
        <v>85774</v>
      </c>
      <c r="Q7" s="10">
        <v>64281</v>
      </c>
      <c r="R7" s="10">
        <v>49926</v>
      </c>
      <c r="S7" s="10">
        <v>34531</v>
      </c>
      <c r="T7" s="10">
        <v>21207</v>
      </c>
      <c r="U7" s="10">
        <v>14632</v>
      </c>
      <c r="V7" s="10">
        <v>8563</v>
      </c>
      <c r="W7" s="10">
        <v>5968</v>
      </c>
      <c r="X7" s="10">
        <v>1226173</v>
      </c>
      <c r="Y7" s="10">
        <v>186726</v>
      </c>
      <c r="Z7" s="10">
        <v>160851</v>
      </c>
      <c r="AA7" s="10">
        <v>153732</v>
      </c>
      <c r="AB7" s="10">
        <v>144227</v>
      </c>
      <c r="AC7" s="10">
        <v>121117</v>
      </c>
      <c r="AD7" s="10">
        <v>102278</v>
      </c>
      <c r="AE7" s="10">
        <v>84139</v>
      </c>
      <c r="AF7" s="10">
        <v>68867</v>
      </c>
      <c r="AG7" s="10">
        <v>59554</v>
      </c>
      <c r="AH7" s="10">
        <v>44171</v>
      </c>
      <c r="AI7" s="10">
        <v>33122</v>
      </c>
      <c r="AJ7" s="10">
        <v>25428</v>
      </c>
      <c r="AK7" s="10">
        <v>17585</v>
      </c>
      <c r="AL7" s="10">
        <v>11046</v>
      </c>
      <c r="AM7" s="10">
        <v>7128</v>
      </c>
      <c r="AN7" s="10">
        <v>3907</v>
      </c>
      <c r="AO7" s="10">
        <v>2295</v>
      </c>
      <c r="AP7" s="10">
        <v>1203465</v>
      </c>
      <c r="AQ7" s="10">
        <v>183500</v>
      </c>
      <c r="AR7" s="10">
        <v>161653</v>
      </c>
      <c r="AS7" s="10">
        <v>157375</v>
      </c>
      <c r="AT7" s="10">
        <v>145776</v>
      </c>
      <c r="AU7" s="10">
        <v>116180</v>
      </c>
      <c r="AV7" s="10">
        <v>97595</v>
      </c>
      <c r="AW7" s="10">
        <v>79630</v>
      </c>
      <c r="AX7" s="10">
        <v>65921</v>
      </c>
      <c r="AY7" s="10">
        <v>55635</v>
      </c>
      <c r="AZ7" s="10">
        <v>41603</v>
      </c>
      <c r="BA7" s="10">
        <v>31159</v>
      </c>
      <c r="BB7" s="10">
        <v>24498</v>
      </c>
      <c r="BC7" s="10">
        <v>16946</v>
      </c>
      <c r="BD7" s="10">
        <v>10161</v>
      </c>
      <c r="BE7" s="10">
        <v>7504</v>
      </c>
      <c r="BF7" s="10">
        <v>4656</v>
      </c>
      <c r="BG7" s="10">
        <v>3673</v>
      </c>
    </row>
    <row r="8" spans="1:59" x14ac:dyDescent="0.25">
      <c r="A8" s="12" t="s">
        <v>3</v>
      </c>
      <c r="B8" s="12" t="s">
        <v>291</v>
      </c>
      <c r="C8" s="2" t="s">
        <v>199</v>
      </c>
      <c r="D8" s="2" t="s">
        <v>446</v>
      </c>
      <c r="E8" s="2">
        <v>2020</v>
      </c>
      <c r="F8" s="10">
        <v>1510683</v>
      </c>
      <c r="G8" s="10">
        <v>294596</v>
      </c>
      <c r="H8" s="10">
        <v>247382</v>
      </c>
      <c r="I8" s="10">
        <v>198134</v>
      </c>
      <c r="J8" s="10">
        <v>153970</v>
      </c>
      <c r="K8" s="10">
        <v>125498</v>
      </c>
      <c r="L8" s="10">
        <v>105339</v>
      </c>
      <c r="M8" s="10">
        <v>81442</v>
      </c>
      <c r="N8" s="10">
        <v>72998</v>
      </c>
      <c r="O8" s="10">
        <v>62868</v>
      </c>
      <c r="P8" s="10">
        <v>49195</v>
      </c>
      <c r="Q8" s="10">
        <v>34752</v>
      </c>
      <c r="R8" s="10">
        <v>26185</v>
      </c>
      <c r="S8" s="10">
        <v>20826</v>
      </c>
      <c r="T8" s="10">
        <v>14901</v>
      </c>
      <c r="U8" s="10">
        <v>10930</v>
      </c>
      <c r="V8" s="10">
        <v>6788</v>
      </c>
      <c r="W8" s="10">
        <v>4879</v>
      </c>
      <c r="X8" s="10">
        <v>755846</v>
      </c>
      <c r="Y8" s="10">
        <v>148975</v>
      </c>
      <c r="Z8" s="10">
        <v>124116</v>
      </c>
      <c r="AA8" s="10">
        <v>101242</v>
      </c>
      <c r="AB8" s="10">
        <v>77289</v>
      </c>
      <c r="AC8" s="10">
        <v>61441</v>
      </c>
      <c r="AD8" s="10">
        <v>51884</v>
      </c>
      <c r="AE8" s="10">
        <v>40694</v>
      </c>
      <c r="AF8" s="10">
        <v>35800</v>
      </c>
      <c r="AG8" s="10">
        <v>31640</v>
      </c>
      <c r="AH8" s="10">
        <v>25319</v>
      </c>
      <c r="AI8" s="10">
        <v>18285</v>
      </c>
      <c r="AJ8" s="10">
        <v>12505</v>
      </c>
      <c r="AK8" s="10">
        <v>9125</v>
      </c>
      <c r="AL8" s="10">
        <v>6961</v>
      </c>
      <c r="AM8" s="10">
        <v>5215</v>
      </c>
      <c r="AN8" s="10">
        <v>3289</v>
      </c>
      <c r="AO8" s="10">
        <v>2066</v>
      </c>
      <c r="AP8" s="10">
        <v>754837</v>
      </c>
      <c r="AQ8" s="10">
        <v>145621</v>
      </c>
      <c r="AR8" s="10">
        <v>123266</v>
      </c>
      <c r="AS8" s="10">
        <v>96892</v>
      </c>
      <c r="AT8" s="10">
        <v>76681</v>
      </c>
      <c r="AU8" s="10">
        <v>64057</v>
      </c>
      <c r="AV8" s="10">
        <v>53455</v>
      </c>
      <c r="AW8" s="10">
        <v>40748</v>
      </c>
      <c r="AX8" s="10">
        <v>37198</v>
      </c>
      <c r="AY8" s="10">
        <v>31228</v>
      </c>
      <c r="AZ8" s="10">
        <v>23876</v>
      </c>
      <c r="BA8" s="10">
        <v>16467</v>
      </c>
      <c r="BB8" s="10">
        <v>13680</v>
      </c>
      <c r="BC8" s="10">
        <v>11701</v>
      </c>
      <c r="BD8" s="10">
        <v>7940</v>
      </c>
      <c r="BE8" s="10">
        <v>5715</v>
      </c>
      <c r="BF8" s="10">
        <v>3499</v>
      </c>
      <c r="BG8" s="10">
        <v>2813</v>
      </c>
    </row>
    <row r="9" spans="1:59" x14ac:dyDescent="0.25">
      <c r="A9" s="12" t="s">
        <v>3</v>
      </c>
      <c r="B9" s="12" t="s">
        <v>291</v>
      </c>
      <c r="C9" s="2" t="s">
        <v>231</v>
      </c>
      <c r="D9" s="2" t="s">
        <v>470</v>
      </c>
      <c r="E9" s="2">
        <v>2020</v>
      </c>
      <c r="F9" s="10">
        <v>2094285</v>
      </c>
      <c r="G9" s="10">
        <v>397773</v>
      </c>
      <c r="H9" s="10">
        <v>333412</v>
      </c>
      <c r="I9" s="10">
        <v>275728</v>
      </c>
      <c r="J9" s="10">
        <v>233189</v>
      </c>
      <c r="K9" s="10">
        <v>192023</v>
      </c>
      <c r="L9" s="10">
        <v>149831</v>
      </c>
      <c r="M9" s="10">
        <v>124979</v>
      </c>
      <c r="N9" s="10">
        <v>100608</v>
      </c>
      <c r="O9" s="10">
        <v>84233</v>
      </c>
      <c r="P9" s="10">
        <v>60673</v>
      </c>
      <c r="Q9" s="10">
        <v>43287</v>
      </c>
      <c r="R9" s="10">
        <v>29935</v>
      </c>
      <c r="S9" s="10">
        <v>23330</v>
      </c>
      <c r="T9" s="10">
        <v>16751</v>
      </c>
      <c r="U9" s="10">
        <v>13181</v>
      </c>
      <c r="V9" s="10">
        <v>8405</v>
      </c>
      <c r="W9" s="10">
        <v>6947</v>
      </c>
      <c r="X9" s="10">
        <v>1040621</v>
      </c>
      <c r="Y9" s="10">
        <v>200543</v>
      </c>
      <c r="Z9" s="10">
        <v>167630</v>
      </c>
      <c r="AA9" s="10">
        <v>138986</v>
      </c>
      <c r="AB9" s="10">
        <v>118753</v>
      </c>
      <c r="AC9" s="10">
        <v>97872</v>
      </c>
      <c r="AD9" s="10">
        <v>74226</v>
      </c>
      <c r="AE9" s="10">
        <v>60946</v>
      </c>
      <c r="AF9" s="10">
        <v>48972</v>
      </c>
      <c r="AG9" s="10">
        <v>40059</v>
      </c>
      <c r="AH9" s="10">
        <v>29865</v>
      </c>
      <c r="AI9" s="10">
        <v>21264</v>
      </c>
      <c r="AJ9" s="10">
        <v>13749</v>
      </c>
      <c r="AK9" s="10">
        <v>9738</v>
      </c>
      <c r="AL9" s="10">
        <v>7171</v>
      </c>
      <c r="AM9" s="10">
        <v>5199</v>
      </c>
      <c r="AN9" s="10">
        <v>3271</v>
      </c>
      <c r="AO9" s="10">
        <v>2377</v>
      </c>
      <c r="AP9" s="10">
        <v>1053664</v>
      </c>
      <c r="AQ9" s="10">
        <v>197230</v>
      </c>
      <c r="AR9" s="10">
        <v>165782</v>
      </c>
      <c r="AS9" s="10">
        <v>136742</v>
      </c>
      <c r="AT9" s="10">
        <v>114436</v>
      </c>
      <c r="AU9" s="10">
        <v>94151</v>
      </c>
      <c r="AV9" s="10">
        <v>75605</v>
      </c>
      <c r="AW9" s="10">
        <v>64033</v>
      </c>
      <c r="AX9" s="10">
        <v>51636</v>
      </c>
      <c r="AY9" s="10">
        <v>44174</v>
      </c>
      <c r="AZ9" s="10">
        <v>30808</v>
      </c>
      <c r="BA9" s="10">
        <v>22023</v>
      </c>
      <c r="BB9" s="10">
        <v>16186</v>
      </c>
      <c r="BC9" s="10">
        <v>13592</v>
      </c>
      <c r="BD9" s="10">
        <v>9580</v>
      </c>
      <c r="BE9" s="10">
        <v>7982</v>
      </c>
      <c r="BF9" s="10">
        <v>5134</v>
      </c>
      <c r="BG9" s="10">
        <v>4570</v>
      </c>
    </row>
    <row r="10" spans="1:59" x14ac:dyDescent="0.25">
      <c r="A10" s="12" t="s">
        <v>3</v>
      </c>
      <c r="B10" s="12" t="s">
        <v>291</v>
      </c>
      <c r="C10" s="2" t="s">
        <v>174</v>
      </c>
      <c r="D10" s="2" t="s">
        <v>387</v>
      </c>
      <c r="E10" s="2">
        <v>2020</v>
      </c>
      <c r="F10" s="10">
        <v>3433676</v>
      </c>
      <c r="G10" s="10">
        <v>540584</v>
      </c>
      <c r="H10" s="10">
        <v>453366</v>
      </c>
      <c r="I10" s="10">
        <v>411782</v>
      </c>
      <c r="J10" s="10">
        <v>374229</v>
      </c>
      <c r="K10" s="10">
        <v>365945</v>
      </c>
      <c r="L10" s="10">
        <v>325930</v>
      </c>
      <c r="M10" s="10">
        <v>273926</v>
      </c>
      <c r="N10" s="10">
        <v>218103</v>
      </c>
      <c r="O10" s="10">
        <v>162719</v>
      </c>
      <c r="P10" s="10">
        <v>105872</v>
      </c>
      <c r="Q10" s="10">
        <v>70418</v>
      </c>
      <c r="R10" s="10">
        <v>50419</v>
      </c>
      <c r="S10" s="10">
        <v>33234</v>
      </c>
      <c r="T10" s="10">
        <v>19454</v>
      </c>
      <c r="U10" s="10">
        <v>13085</v>
      </c>
      <c r="V10" s="10">
        <v>7914</v>
      </c>
      <c r="W10" s="10">
        <v>6696</v>
      </c>
      <c r="X10" s="10">
        <v>1724650</v>
      </c>
      <c r="Y10" s="10">
        <v>272224</v>
      </c>
      <c r="Z10" s="10">
        <v>224886</v>
      </c>
      <c r="AA10" s="10">
        <v>197864</v>
      </c>
      <c r="AB10" s="10">
        <v>180067</v>
      </c>
      <c r="AC10" s="10">
        <v>179210</v>
      </c>
      <c r="AD10" s="10">
        <v>165784</v>
      </c>
      <c r="AE10" s="10">
        <v>140675</v>
      </c>
      <c r="AF10" s="10">
        <v>117320</v>
      </c>
      <c r="AG10" s="10">
        <v>89261</v>
      </c>
      <c r="AH10" s="10">
        <v>57578</v>
      </c>
      <c r="AI10" s="10">
        <v>37146</v>
      </c>
      <c r="AJ10" s="10">
        <v>25278</v>
      </c>
      <c r="AK10" s="10">
        <v>16428</v>
      </c>
      <c r="AL10" s="10">
        <v>9841</v>
      </c>
      <c r="AM10" s="10">
        <v>5945</v>
      </c>
      <c r="AN10" s="10">
        <v>3008</v>
      </c>
      <c r="AO10" s="10">
        <v>2135</v>
      </c>
      <c r="AP10" s="10">
        <v>1709026</v>
      </c>
      <c r="AQ10" s="10">
        <v>268360</v>
      </c>
      <c r="AR10" s="10">
        <v>228480</v>
      </c>
      <c r="AS10" s="10">
        <v>213918</v>
      </c>
      <c r="AT10" s="10">
        <v>194162</v>
      </c>
      <c r="AU10" s="10">
        <v>186735</v>
      </c>
      <c r="AV10" s="10">
        <v>160146</v>
      </c>
      <c r="AW10" s="10">
        <v>133251</v>
      </c>
      <c r="AX10" s="10">
        <v>100783</v>
      </c>
      <c r="AY10" s="10">
        <v>73458</v>
      </c>
      <c r="AZ10" s="10">
        <v>48294</v>
      </c>
      <c r="BA10" s="10">
        <v>33272</v>
      </c>
      <c r="BB10" s="10">
        <v>25141</v>
      </c>
      <c r="BC10" s="10">
        <v>16806</v>
      </c>
      <c r="BD10" s="10">
        <v>9613</v>
      </c>
      <c r="BE10" s="10">
        <v>7140</v>
      </c>
      <c r="BF10" s="10">
        <v>4906</v>
      </c>
      <c r="BG10" s="10">
        <v>4561</v>
      </c>
    </row>
    <row r="11" spans="1:59" x14ac:dyDescent="0.25">
      <c r="A11" s="12" t="s">
        <v>3</v>
      </c>
      <c r="B11" s="12" t="s">
        <v>291</v>
      </c>
      <c r="C11" s="2" t="s">
        <v>253</v>
      </c>
      <c r="D11" s="2" t="s">
        <v>498</v>
      </c>
      <c r="E11" s="2">
        <v>2020</v>
      </c>
      <c r="F11" s="10">
        <v>1048557</v>
      </c>
      <c r="G11" s="10">
        <v>197900</v>
      </c>
      <c r="H11" s="10">
        <v>163993</v>
      </c>
      <c r="I11" s="10">
        <v>132644</v>
      </c>
      <c r="J11" s="10">
        <v>107002</v>
      </c>
      <c r="K11" s="10">
        <v>90061</v>
      </c>
      <c r="L11" s="10">
        <v>73121</v>
      </c>
      <c r="M11" s="10">
        <v>59322</v>
      </c>
      <c r="N11" s="10">
        <v>48717</v>
      </c>
      <c r="O11" s="10">
        <v>43252</v>
      </c>
      <c r="P11" s="10">
        <v>33073</v>
      </c>
      <c r="Q11" s="10">
        <v>26293</v>
      </c>
      <c r="R11" s="10">
        <v>20191</v>
      </c>
      <c r="S11" s="10">
        <v>17360</v>
      </c>
      <c r="T11" s="10">
        <v>12017</v>
      </c>
      <c r="U11" s="10">
        <v>10183</v>
      </c>
      <c r="V11" s="10">
        <v>6657</v>
      </c>
      <c r="W11" s="10">
        <v>6771</v>
      </c>
      <c r="X11" s="10">
        <v>508741</v>
      </c>
      <c r="Y11" s="10">
        <v>100228</v>
      </c>
      <c r="Z11" s="10">
        <v>83020</v>
      </c>
      <c r="AA11" s="10">
        <v>67358</v>
      </c>
      <c r="AB11" s="10">
        <v>53451</v>
      </c>
      <c r="AC11" s="10">
        <v>43501</v>
      </c>
      <c r="AD11" s="10">
        <v>34883</v>
      </c>
      <c r="AE11" s="10">
        <v>27663</v>
      </c>
      <c r="AF11" s="10">
        <v>22237</v>
      </c>
      <c r="AG11" s="10">
        <v>19608</v>
      </c>
      <c r="AH11" s="10">
        <v>15139</v>
      </c>
      <c r="AI11" s="10">
        <v>11863</v>
      </c>
      <c r="AJ11" s="10">
        <v>8357</v>
      </c>
      <c r="AK11" s="10">
        <v>6641</v>
      </c>
      <c r="AL11" s="10">
        <v>5135</v>
      </c>
      <c r="AM11" s="10">
        <v>4372</v>
      </c>
      <c r="AN11" s="10">
        <v>2772</v>
      </c>
      <c r="AO11" s="10">
        <v>2513</v>
      </c>
      <c r="AP11" s="10">
        <v>539816</v>
      </c>
      <c r="AQ11" s="10">
        <v>97672</v>
      </c>
      <c r="AR11" s="10">
        <v>80973</v>
      </c>
      <c r="AS11" s="10">
        <v>65286</v>
      </c>
      <c r="AT11" s="10">
        <v>53551</v>
      </c>
      <c r="AU11" s="10">
        <v>46560</v>
      </c>
      <c r="AV11" s="10">
        <v>38238</v>
      </c>
      <c r="AW11" s="10">
        <v>31659</v>
      </c>
      <c r="AX11" s="10">
        <v>26480</v>
      </c>
      <c r="AY11" s="10">
        <v>23644</v>
      </c>
      <c r="AZ11" s="10">
        <v>17934</v>
      </c>
      <c r="BA11" s="10">
        <v>14430</v>
      </c>
      <c r="BB11" s="10">
        <v>11834</v>
      </c>
      <c r="BC11" s="10">
        <v>10719</v>
      </c>
      <c r="BD11" s="10">
        <v>6882</v>
      </c>
      <c r="BE11" s="10">
        <v>5811</v>
      </c>
      <c r="BF11" s="10">
        <v>3885</v>
      </c>
      <c r="BG11" s="10">
        <v>4258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9FFE-456C-4140-995E-752E59F161D8}">
  <sheetPr>
    <outlinePr summaryBelow="0" summaryRight="0"/>
  </sheetPr>
  <dimension ref="A1:BH75"/>
  <sheetViews>
    <sheetView workbookViewId="0">
      <pane ySplit="1" topLeftCell="A2" activePane="bottomLeft" state="frozen"/>
      <selection pane="bottomLeft" activeCell="D2" sqref="D2"/>
    </sheetView>
  </sheetViews>
  <sheetFormatPr defaultColWidth="14.44140625" defaultRowHeight="15.75" customHeight="1" x14ac:dyDescent="0.25"/>
  <cols>
    <col min="7" max="60" width="14.44140625" style="11"/>
  </cols>
  <sheetData>
    <row r="1" spans="1:60" ht="13.2" x14ac:dyDescent="0.25">
      <c r="A1" s="1" t="s">
        <v>37</v>
      </c>
      <c r="B1" s="13" t="s">
        <v>544</v>
      </c>
      <c r="C1" s="1" t="s">
        <v>38</v>
      </c>
      <c r="D1" s="13" t="s">
        <v>545</v>
      </c>
      <c r="E1" s="1" t="s">
        <v>39</v>
      </c>
      <c r="F1" s="1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  <c r="N1" s="9" t="s">
        <v>49</v>
      </c>
      <c r="O1" s="9" t="s">
        <v>50</v>
      </c>
      <c r="P1" s="9" t="s">
        <v>51</v>
      </c>
      <c r="Q1" s="9" t="s">
        <v>52</v>
      </c>
      <c r="R1" s="9" t="s">
        <v>53</v>
      </c>
      <c r="S1" s="9" t="s">
        <v>54</v>
      </c>
      <c r="T1" s="9" t="s">
        <v>55</v>
      </c>
      <c r="U1" s="9" t="s">
        <v>56</v>
      </c>
      <c r="V1" s="9" t="s">
        <v>57</v>
      </c>
      <c r="W1" s="9" t="s">
        <v>58</v>
      </c>
      <c r="X1" s="9" t="s">
        <v>59</v>
      </c>
      <c r="Y1" s="9" t="s">
        <v>60</v>
      </c>
      <c r="Z1" s="9" t="s">
        <v>61</v>
      </c>
      <c r="AA1" s="9" t="s">
        <v>62</v>
      </c>
      <c r="AB1" s="9" t="s">
        <v>63</v>
      </c>
      <c r="AC1" s="9" t="s">
        <v>64</v>
      </c>
      <c r="AD1" s="9" t="s">
        <v>65</v>
      </c>
      <c r="AE1" s="9" t="s">
        <v>66</v>
      </c>
      <c r="AF1" s="9" t="s">
        <v>67</v>
      </c>
      <c r="AG1" s="9" t="s">
        <v>68</v>
      </c>
      <c r="AH1" s="9" t="s">
        <v>69</v>
      </c>
      <c r="AI1" s="9" t="s">
        <v>70</v>
      </c>
      <c r="AJ1" s="9" t="s">
        <v>71</v>
      </c>
      <c r="AK1" s="9" t="s">
        <v>72</v>
      </c>
      <c r="AL1" s="9" t="s">
        <v>73</v>
      </c>
      <c r="AM1" s="9" t="s">
        <v>74</v>
      </c>
      <c r="AN1" s="9" t="s">
        <v>75</v>
      </c>
      <c r="AO1" s="9" t="s">
        <v>76</v>
      </c>
      <c r="AP1" s="9" t="s">
        <v>77</v>
      </c>
      <c r="AQ1" s="9" t="s">
        <v>78</v>
      </c>
      <c r="AR1" s="9" t="s">
        <v>79</v>
      </c>
      <c r="AS1" s="9" t="s">
        <v>80</v>
      </c>
      <c r="AT1" s="9" t="s">
        <v>81</v>
      </c>
      <c r="AU1" s="9" t="s">
        <v>82</v>
      </c>
      <c r="AV1" s="9" t="s">
        <v>83</v>
      </c>
      <c r="AW1" s="9" t="s">
        <v>84</v>
      </c>
      <c r="AX1" s="9" t="s">
        <v>85</v>
      </c>
      <c r="AY1" s="9" t="s">
        <v>86</v>
      </c>
      <c r="AZ1" s="9" t="s">
        <v>87</v>
      </c>
      <c r="BA1" s="9" t="s">
        <v>88</v>
      </c>
      <c r="BB1" s="9" t="s">
        <v>89</v>
      </c>
      <c r="BC1" s="9" t="s">
        <v>90</v>
      </c>
      <c r="BD1" s="9" t="s">
        <v>91</v>
      </c>
      <c r="BE1" s="9" t="s">
        <v>92</v>
      </c>
      <c r="BF1" s="9" t="s">
        <v>93</v>
      </c>
      <c r="BG1" s="9" t="s">
        <v>94</v>
      </c>
      <c r="BH1" s="9" t="s">
        <v>95</v>
      </c>
    </row>
    <row r="2" spans="1:60" ht="13.2" x14ac:dyDescent="0.25">
      <c r="A2" s="2" t="s">
        <v>3</v>
      </c>
      <c r="B2" s="2" t="s">
        <v>291</v>
      </c>
      <c r="C2" s="2" t="s">
        <v>138</v>
      </c>
      <c r="D2" s="2" t="s">
        <v>335</v>
      </c>
      <c r="E2" s="2" t="s">
        <v>139</v>
      </c>
      <c r="F2" s="2">
        <v>2020</v>
      </c>
      <c r="G2" s="10">
        <v>133843</v>
      </c>
      <c r="H2" s="10">
        <v>25567</v>
      </c>
      <c r="I2" s="10">
        <v>22098</v>
      </c>
      <c r="J2" s="10">
        <v>17703</v>
      </c>
      <c r="K2" s="10">
        <v>14110</v>
      </c>
      <c r="L2" s="10">
        <v>11417</v>
      </c>
      <c r="M2" s="10">
        <v>8813</v>
      </c>
      <c r="N2" s="10">
        <v>7453</v>
      </c>
      <c r="O2" s="10">
        <v>6289</v>
      </c>
      <c r="P2" s="10">
        <v>5439</v>
      </c>
      <c r="Q2" s="10">
        <v>4301</v>
      </c>
      <c r="R2" s="10">
        <v>2852</v>
      </c>
      <c r="S2" s="10">
        <v>2350</v>
      </c>
      <c r="T2" s="10">
        <v>1869</v>
      </c>
      <c r="U2" s="10">
        <v>1299</v>
      </c>
      <c r="V2" s="10">
        <v>1131</v>
      </c>
      <c r="W2" s="10">
        <v>684</v>
      </c>
      <c r="X2" s="10">
        <v>468</v>
      </c>
      <c r="Y2" s="10">
        <v>67377</v>
      </c>
      <c r="Z2" s="10">
        <v>12871</v>
      </c>
      <c r="AA2" s="10">
        <v>11180</v>
      </c>
      <c r="AB2" s="10">
        <v>8962</v>
      </c>
      <c r="AC2" s="10">
        <v>7445</v>
      </c>
      <c r="AD2" s="10">
        <v>6084</v>
      </c>
      <c r="AE2" s="10">
        <v>4506</v>
      </c>
      <c r="AF2" s="10">
        <v>3699</v>
      </c>
      <c r="AG2" s="10">
        <v>2998</v>
      </c>
      <c r="AH2" s="10">
        <v>2627</v>
      </c>
      <c r="AI2" s="10">
        <v>2195</v>
      </c>
      <c r="AJ2" s="10">
        <v>1439</v>
      </c>
      <c r="AK2" s="10">
        <v>1108</v>
      </c>
      <c r="AL2" s="10">
        <v>774</v>
      </c>
      <c r="AM2" s="10">
        <v>579</v>
      </c>
      <c r="AN2" s="10">
        <v>449</v>
      </c>
      <c r="AO2" s="10">
        <v>279</v>
      </c>
      <c r="AP2" s="10">
        <v>182</v>
      </c>
      <c r="AQ2" s="10">
        <v>66466</v>
      </c>
      <c r="AR2" s="10">
        <v>12696</v>
      </c>
      <c r="AS2" s="10">
        <v>10918</v>
      </c>
      <c r="AT2" s="10">
        <v>8741</v>
      </c>
      <c r="AU2" s="10">
        <v>6665</v>
      </c>
      <c r="AV2" s="10">
        <v>5333</v>
      </c>
      <c r="AW2" s="10">
        <v>4307</v>
      </c>
      <c r="AX2" s="10">
        <v>3754</v>
      </c>
      <c r="AY2" s="10">
        <v>3291</v>
      </c>
      <c r="AZ2" s="10">
        <v>2812</v>
      </c>
      <c r="BA2" s="10">
        <v>2106</v>
      </c>
      <c r="BB2" s="10">
        <v>1413</v>
      </c>
      <c r="BC2" s="10">
        <v>1242</v>
      </c>
      <c r="BD2" s="10">
        <v>1095</v>
      </c>
      <c r="BE2" s="10">
        <v>720</v>
      </c>
      <c r="BF2" s="10">
        <v>682</v>
      </c>
      <c r="BG2" s="10">
        <v>405</v>
      </c>
      <c r="BH2" s="10">
        <v>286</v>
      </c>
    </row>
    <row r="3" spans="1:60" ht="13.2" x14ac:dyDescent="0.25">
      <c r="A3" s="2" t="s">
        <v>3</v>
      </c>
      <c r="B3" s="2" t="s">
        <v>291</v>
      </c>
      <c r="C3" s="2" t="s">
        <v>113</v>
      </c>
      <c r="D3" s="2" t="s">
        <v>404</v>
      </c>
      <c r="E3" s="2" t="s">
        <v>188</v>
      </c>
      <c r="F3" s="2">
        <v>2020</v>
      </c>
      <c r="G3" s="10">
        <v>139810</v>
      </c>
      <c r="H3" s="10">
        <v>28370</v>
      </c>
      <c r="I3" s="10">
        <v>24829</v>
      </c>
      <c r="J3" s="10">
        <v>18553</v>
      </c>
      <c r="K3" s="10">
        <v>13629</v>
      </c>
      <c r="L3" s="10">
        <v>11130</v>
      </c>
      <c r="M3" s="10">
        <v>9800</v>
      </c>
      <c r="N3" s="10">
        <v>7915</v>
      </c>
      <c r="O3" s="10">
        <v>6408</v>
      </c>
      <c r="P3" s="10">
        <v>5465</v>
      </c>
      <c r="Q3" s="10">
        <v>3899</v>
      </c>
      <c r="R3" s="10">
        <v>2649</v>
      </c>
      <c r="S3" s="10">
        <v>1867</v>
      </c>
      <c r="T3" s="10">
        <v>1870</v>
      </c>
      <c r="U3" s="10">
        <v>1346</v>
      </c>
      <c r="V3" s="10">
        <v>1061</v>
      </c>
      <c r="W3" s="10">
        <v>642</v>
      </c>
      <c r="X3" s="10">
        <v>377</v>
      </c>
      <c r="Y3" s="10">
        <v>69228</v>
      </c>
      <c r="Z3" s="10">
        <v>14370</v>
      </c>
      <c r="AA3" s="10">
        <v>12520</v>
      </c>
      <c r="AB3" s="10">
        <v>9583</v>
      </c>
      <c r="AC3" s="10">
        <v>6931</v>
      </c>
      <c r="AD3" s="10">
        <v>5537</v>
      </c>
      <c r="AE3" s="10">
        <v>4611</v>
      </c>
      <c r="AF3" s="10">
        <v>4006</v>
      </c>
      <c r="AG3" s="10">
        <v>3014</v>
      </c>
      <c r="AH3" s="10">
        <v>2559</v>
      </c>
      <c r="AI3" s="10">
        <v>1873</v>
      </c>
      <c r="AJ3" s="10">
        <v>1216</v>
      </c>
      <c r="AK3" s="10">
        <v>832</v>
      </c>
      <c r="AL3" s="10">
        <v>695</v>
      </c>
      <c r="AM3" s="10">
        <v>570</v>
      </c>
      <c r="AN3" s="10">
        <v>453</v>
      </c>
      <c r="AO3" s="10">
        <v>293</v>
      </c>
      <c r="AP3" s="10">
        <v>165</v>
      </c>
      <c r="AQ3" s="10">
        <v>70582</v>
      </c>
      <c r="AR3" s="10">
        <v>14000</v>
      </c>
      <c r="AS3" s="10">
        <v>12309</v>
      </c>
      <c r="AT3" s="10">
        <v>8970</v>
      </c>
      <c r="AU3" s="10">
        <v>6698</v>
      </c>
      <c r="AV3" s="10">
        <v>5593</v>
      </c>
      <c r="AW3" s="10">
        <v>5189</v>
      </c>
      <c r="AX3" s="10">
        <v>3909</v>
      </c>
      <c r="AY3" s="10">
        <v>3394</v>
      </c>
      <c r="AZ3" s="10">
        <v>2906</v>
      </c>
      <c r="BA3" s="10">
        <v>2026</v>
      </c>
      <c r="BB3" s="10">
        <v>1433</v>
      </c>
      <c r="BC3" s="10">
        <v>1035</v>
      </c>
      <c r="BD3" s="10">
        <v>1175</v>
      </c>
      <c r="BE3" s="10">
        <v>776</v>
      </c>
      <c r="BF3" s="10">
        <v>608</v>
      </c>
      <c r="BG3" s="10">
        <v>349</v>
      </c>
      <c r="BH3" s="10">
        <v>212</v>
      </c>
    </row>
    <row r="4" spans="1:60" ht="13.2" x14ac:dyDescent="0.25">
      <c r="A4" s="2" t="s">
        <v>3</v>
      </c>
      <c r="B4" s="2" t="s">
        <v>291</v>
      </c>
      <c r="C4" s="2" t="s">
        <v>215</v>
      </c>
      <c r="D4" s="2" t="s">
        <v>422</v>
      </c>
      <c r="E4" s="2" t="s">
        <v>216</v>
      </c>
      <c r="F4" s="2">
        <v>2020</v>
      </c>
      <c r="G4" s="10">
        <v>39952</v>
      </c>
      <c r="H4" s="10">
        <v>7946</v>
      </c>
      <c r="I4" s="10">
        <v>6555</v>
      </c>
      <c r="J4" s="10">
        <v>5196</v>
      </c>
      <c r="K4" s="10">
        <v>4201</v>
      </c>
      <c r="L4" s="10">
        <v>3243</v>
      </c>
      <c r="M4" s="10">
        <v>2691</v>
      </c>
      <c r="N4" s="10">
        <v>2181</v>
      </c>
      <c r="O4" s="10">
        <v>1701</v>
      </c>
      <c r="P4" s="10">
        <v>1672</v>
      </c>
      <c r="Q4" s="10">
        <v>1161</v>
      </c>
      <c r="R4" s="10">
        <v>792</v>
      </c>
      <c r="S4" s="10">
        <v>586</v>
      </c>
      <c r="T4" s="10">
        <v>511</v>
      </c>
      <c r="U4" s="10">
        <v>451</v>
      </c>
      <c r="V4" s="10">
        <v>399</v>
      </c>
      <c r="W4" s="10">
        <v>291</v>
      </c>
      <c r="X4" s="10">
        <v>375</v>
      </c>
      <c r="Y4" s="10">
        <v>19580</v>
      </c>
      <c r="Z4" s="10">
        <v>4050</v>
      </c>
      <c r="AA4" s="10">
        <v>3291</v>
      </c>
      <c r="AB4" s="10">
        <v>2617</v>
      </c>
      <c r="AC4" s="10">
        <v>2127</v>
      </c>
      <c r="AD4" s="10">
        <v>1689</v>
      </c>
      <c r="AE4" s="10">
        <v>1329</v>
      </c>
      <c r="AF4" s="10">
        <v>1011</v>
      </c>
      <c r="AG4" s="10">
        <v>739</v>
      </c>
      <c r="AH4" s="10">
        <v>767</v>
      </c>
      <c r="AI4" s="10">
        <v>581</v>
      </c>
      <c r="AJ4" s="10">
        <v>337</v>
      </c>
      <c r="AK4" s="10">
        <v>250</v>
      </c>
      <c r="AL4" s="10">
        <v>198</v>
      </c>
      <c r="AM4" s="10">
        <v>165</v>
      </c>
      <c r="AN4" s="10">
        <v>173</v>
      </c>
      <c r="AO4" s="10">
        <v>111</v>
      </c>
      <c r="AP4" s="10">
        <v>145</v>
      </c>
      <c r="AQ4" s="10">
        <v>20372</v>
      </c>
      <c r="AR4" s="10">
        <v>3896</v>
      </c>
      <c r="AS4" s="10">
        <v>3264</v>
      </c>
      <c r="AT4" s="10">
        <v>2579</v>
      </c>
      <c r="AU4" s="10">
        <v>2074</v>
      </c>
      <c r="AV4" s="10">
        <v>1554</v>
      </c>
      <c r="AW4" s="10">
        <v>1362</v>
      </c>
      <c r="AX4" s="10">
        <v>1170</v>
      </c>
      <c r="AY4" s="10">
        <v>962</v>
      </c>
      <c r="AZ4" s="10">
        <v>905</v>
      </c>
      <c r="BA4" s="10">
        <v>580</v>
      </c>
      <c r="BB4" s="10">
        <v>455</v>
      </c>
      <c r="BC4" s="10">
        <v>336</v>
      </c>
      <c r="BD4" s="10">
        <v>313</v>
      </c>
      <c r="BE4" s="10">
        <v>286</v>
      </c>
      <c r="BF4" s="10">
        <v>226</v>
      </c>
      <c r="BG4" s="10">
        <v>180</v>
      </c>
      <c r="BH4" s="10">
        <v>230</v>
      </c>
    </row>
    <row r="5" spans="1:60" ht="13.2" x14ac:dyDescent="0.25">
      <c r="A5" s="2" t="s">
        <v>3</v>
      </c>
      <c r="B5" s="2" t="s">
        <v>291</v>
      </c>
      <c r="C5" s="2" t="s">
        <v>96</v>
      </c>
      <c r="D5" s="2" t="s">
        <v>290</v>
      </c>
      <c r="E5" s="2" t="s">
        <v>97</v>
      </c>
      <c r="F5" s="2">
        <v>2020</v>
      </c>
      <c r="G5" s="10">
        <v>372317</v>
      </c>
      <c r="H5" s="10">
        <v>69713</v>
      </c>
      <c r="I5" s="10">
        <v>59079</v>
      </c>
      <c r="J5" s="10">
        <v>51428</v>
      </c>
      <c r="K5" s="10">
        <v>40610</v>
      </c>
      <c r="L5" s="10">
        <v>32694</v>
      </c>
      <c r="M5" s="10">
        <v>24536</v>
      </c>
      <c r="N5" s="10">
        <v>21096</v>
      </c>
      <c r="O5" s="10">
        <v>17623</v>
      </c>
      <c r="P5" s="10">
        <v>15206</v>
      </c>
      <c r="Q5" s="10">
        <v>11250</v>
      </c>
      <c r="R5" s="10">
        <v>8175</v>
      </c>
      <c r="S5" s="10">
        <v>6050</v>
      </c>
      <c r="T5" s="10">
        <v>5133</v>
      </c>
      <c r="U5" s="10">
        <v>3684</v>
      </c>
      <c r="V5" s="10">
        <v>2791</v>
      </c>
      <c r="W5" s="10">
        <v>1825</v>
      </c>
      <c r="X5" s="10">
        <v>1424</v>
      </c>
      <c r="Y5" s="10">
        <v>187577</v>
      </c>
      <c r="Z5" s="10">
        <v>35109</v>
      </c>
      <c r="AA5" s="10">
        <v>29846</v>
      </c>
      <c r="AB5" s="10">
        <v>26254</v>
      </c>
      <c r="AC5" s="10">
        <v>21037</v>
      </c>
      <c r="AD5" s="10">
        <v>16925</v>
      </c>
      <c r="AE5" s="10">
        <v>12483</v>
      </c>
      <c r="AF5" s="10">
        <v>10362</v>
      </c>
      <c r="AG5" s="10">
        <v>8689</v>
      </c>
      <c r="AH5" s="10">
        <v>7610</v>
      </c>
      <c r="AI5" s="10">
        <v>5669</v>
      </c>
      <c r="AJ5" s="10">
        <v>4028</v>
      </c>
      <c r="AK5" s="10">
        <v>2799</v>
      </c>
      <c r="AL5" s="10">
        <v>2316</v>
      </c>
      <c r="AM5" s="10">
        <v>1766</v>
      </c>
      <c r="AN5" s="10">
        <v>1288</v>
      </c>
      <c r="AO5" s="10">
        <v>802</v>
      </c>
      <c r="AP5" s="10">
        <v>594</v>
      </c>
      <c r="AQ5" s="10">
        <v>184740</v>
      </c>
      <c r="AR5" s="10">
        <v>34604</v>
      </c>
      <c r="AS5" s="10">
        <v>29233</v>
      </c>
      <c r="AT5" s="10">
        <v>25174</v>
      </c>
      <c r="AU5" s="10">
        <v>19573</v>
      </c>
      <c r="AV5" s="10">
        <v>15769</v>
      </c>
      <c r="AW5" s="10">
        <v>12053</v>
      </c>
      <c r="AX5" s="10">
        <v>10734</v>
      </c>
      <c r="AY5" s="10">
        <v>8934</v>
      </c>
      <c r="AZ5" s="10">
        <v>7596</v>
      </c>
      <c r="BA5" s="10">
        <v>5581</v>
      </c>
      <c r="BB5" s="10">
        <v>4147</v>
      </c>
      <c r="BC5" s="10">
        <v>3251</v>
      </c>
      <c r="BD5" s="10">
        <v>2817</v>
      </c>
      <c r="BE5" s="10">
        <v>1918</v>
      </c>
      <c r="BF5" s="10">
        <v>1503</v>
      </c>
      <c r="BG5" s="10">
        <v>1023</v>
      </c>
      <c r="BH5" s="10">
        <v>830</v>
      </c>
    </row>
    <row r="6" spans="1:60" ht="13.2" x14ac:dyDescent="0.25">
      <c r="A6" s="2" t="s">
        <v>3</v>
      </c>
      <c r="B6" s="2" t="s">
        <v>291</v>
      </c>
      <c r="C6" s="2" t="s">
        <v>158</v>
      </c>
      <c r="D6" s="2" t="s">
        <v>363</v>
      </c>
      <c r="E6" s="2" t="s">
        <v>159</v>
      </c>
      <c r="F6" s="2">
        <v>2020</v>
      </c>
      <c r="G6" s="10">
        <v>151048</v>
      </c>
      <c r="H6" s="10">
        <v>30220</v>
      </c>
      <c r="I6" s="10">
        <v>23225</v>
      </c>
      <c r="J6" s="10">
        <v>18370</v>
      </c>
      <c r="K6" s="10">
        <v>13675</v>
      </c>
      <c r="L6" s="10">
        <v>11993</v>
      </c>
      <c r="M6" s="10">
        <v>12146</v>
      </c>
      <c r="N6" s="10">
        <v>9720</v>
      </c>
      <c r="O6" s="10">
        <v>7697</v>
      </c>
      <c r="P6" s="10">
        <v>7181</v>
      </c>
      <c r="Q6" s="10">
        <v>5249</v>
      </c>
      <c r="R6" s="10">
        <v>4087</v>
      </c>
      <c r="S6" s="10">
        <v>2843</v>
      </c>
      <c r="T6" s="10">
        <v>2039</v>
      </c>
      <c r="U6" s="10">
        <v>1137</v>
      </c>
      <c r="V6" s="10">
        <v>761</v>
      </c>
      <c r="W6" s="10">
        <v>464</v>
      </c>
      <c r="X6" s="10">
        <v>241</v>
      </c>
      <c r="Y6" s="10">
        <v>75726</v>
      </c>
      <c r="Z6" s="10">
        <v>15126</v>
      </c>
      <c r="AA6" s="10">
        <v>11683</v>
      </c>
      <c r="AB6" s="10">
        <v>9303</v>
      </c>
      <c r="AC6" s="10">
        <v>6894</v>
      </c>
      <c r="AD6" s="10">
        <v>5754</v>
      </c>
      <c r="AE6" s="10">
        <v>5809</v>
      </c>
      <c r="AF6" s="10">
        <v>5088</v>
      </c>
      <c r="AG6" s="10">
        <v>3899</v>
      </c>
      <c r="AH6" s="10">
        <v>3651</v>
      </c>
      <c r="AI6" s="10">
        <v>2804</v>
      </c>
      <c r="AJ6" s="10">
        <v>2144</v>
      </c>
      <c r="AK6" s="10">
        <v>1367</v>
      </c>
      <c r="AL6" s="10">
        <v>990</v>
      </c>
      <c r="AM6" s="10">
        <v>568</v>
      </c>
      <c r="AN6" s="10">
        <v>328</v>
      </c>
      <c r="AO6" s="10">
        <v>218</v>
      </c>
      <c r="AP6" s="10">
        <v>100</v>
      </c>
      <c r="AQ6" s="10">
        <v>75322</v>
      </c>
      <c r="AR6" s="10">
        <v>15094</v>
      </c>
      <c r="AS6" s="10">
        <v>11542</v>
      </c>
      <c r="AT6" s="10">
        <v>9067</v>
      </c>
      <c r="AU6" s="10">
        <v>6781</v>
      </c>
      <c r="AV6" s="10">
        <v>6239</v>
      </c>
      <c r="AW6" s="10">
        <v>6337</v>
      </c>
      <c r="AX6" s="10">
        <v>4632</v>
      </c>
      <c r="AY6" s="10">
        <v>3798</v>
      </c>
      <c r="AZ6" s="10">
        <v>3530</v>
      </c>
      <c r="BA6" s="10">
        <v>2445</v>
      </c>
      <c r="BB6" s="10">
        <v>1943</v>
      </c>
      <c r="BC6" s="10">
        <v>1476</v>
      </c>
      <c r="BD6" s="10">
        <v>1049</v>
      </c>
      <c r="BE6" s="10">
        <v>569</v>
      </c>
      <c r="BF6" s="10">
        <v>433</v>
      </c>
      <c r="BG6" s="10">
        <v>246</v>
      </c>
      <c r="BH6" s="10">
        <v>141</v>
      </c>
    </row>
    <row r="7" spans="1:60" ht="13.2" x14ac:dyDescent="0.25">
      <c r="A7" s="2" t="s">
        <v>3</v>
      </c>
      <c r="B7" s="2" t="s">
        <v>291</v>
      </c>
      <c r="C7" s="2" t="s">
        <v>114</v>
      </c>
      <c r="D7" s="2" t="s">
        <v>313</v>
      </c>
      <c r="E7" s="2" t="s">
        <v>115</v>
      </c>
      <c r="F7" s="2">
        <v>2020</v>
      </c>
      <c r="G7" s="10">
        <v>121194</v>
      </c>
      <c r="H7" s="10">
        <v>18551</v>
      </c>
      <c r="I7" s="10">
        <v>15570</v>
      </c>
      <c r="J7" s="10">
        <v>15318</v>
      </c>
      <c r="K7" s="10">
        <v>14574</v>
      </c>
      <c r="L7" s="10">
        <v>12859</v>
      </c>
      <c r="M7" s="10">
        <v>11395</v>
      </c>
      <c r="N7" s="10">
        <v>8478</v>
      </c>
      <c r="O7" s="10">
        <v>6319</v>
      </c>
      <c r="P7" s="10">
        <v>5625</v>
      </c>
      <c r="Q7" s="10">
        <v>4155</v>
      </c>
      <c r="R7" s="10">
        <v>2949</v>
      </c>
      <c r="S7" s="10">
        <v>2141</v>
      </c>
      <c r="T7" s="10">
        <v>1332</v>
      </c>
      <c r="U7" s="10">
        <v>766</v>
      </c>
      <c r="V7" s="10">
        <v>610</v>
      </c>
      <c r="W7" s="10">
        <v>327</v>
      </c>
      <c r="X7" s="10">
        <v>225</v>
      </c>
      <c r="Y7" s="10">
        <v>62703</v>
      </c>
      <c r="Z7" s="10">
        <v>9397</v>
      </c>
      <c r="AA7" s="10">
        <v>7762</v>
      </c>
      <c r="AB7" s="10">
        <v>7590</v>
      </c>
      <c r="AC7" s="10">
        <v>7367</v>
      </c>
      <c r="AD7" s="10">
        <v>6712</v>
      </c>
      <c r="AE7" s="10">
        <v>6262</v>
      </c>
      <c r="AF7" s="10">
        <v>4612</v>
      </c>
      <c r="AG7" s="10">
        <v>3220</v>
      </c>
      <c r="AH7" s="10">
        <v>3061</v>
      </c>
      <c r="AI7" s="10">
        <v>2248</v>
      </c>
      <c r="AJ7" s="10">
        <v>1660</v>
      </c>
      <c r="AK7" s="10">
        <v>1170</v>
      </c>
      <c r="AL7" s="10">
        <v>727</v>
      </c>
      <c r="AM7" s="10">
        <v>385</v>
      </c>
      <c r="AN7" s="10">
        <v>298</v>
      </c>
      <c r="AO7" s="10">
        <v>143</v>
      </c>
      <c r="AP7" s="10">
        <v>89</v>
      </c>
      <c r="AQ7" s="10">
        <v>58491</v>
      </c>
      <c r="AR7" s="10">
        <v>9154</v>
      </c>
      <c r="AS7" s="10">
        <v>7808</v>
      </c>
      <c r="AT7" s="10">
        <v>7728</v>
      </c>
      <c r="AU7" s="10">
        <v>7207</v>
      </c>
      <c r="AV7" s="10">
        <v>6147</v>
      </c>
      <c r="AW7" s="10">
        <v>5133</v>
      </c>
      <c r="AX7" s="10">
        <v>3866</v>
      </c>
      <c r="AY7" s="10">
        <v>3099</v>
      </c>
      <c r="AZ7" s="10">
        <v>2564</v>
      </c>
      <c r="BA7" s="10">
        <v>1907</v>
      </c>
      <c r="BB7" s="10">
        <v>1289</v>
      </c>
      <c r="BC7" s="10">
        <v>971</v>
      </c>
      <c r="BD7" s="10">
        <v>605</v>
      </c>
      <c r="BE7" s="10">
        <v>381</v>
      </c>
      <c r="BF7" s="10">
        <v>312</v>
      </c>
      <c r="BG7" s="10">
        <v>184</v>
      </c>
      <c r="BH7" s="10">
        <v>136</v>
      </c>
    </row>
    <row r="8" spans="1:60" ht="13.2" x14ac:dyDescent="0.25">
      <c r="A8" s="2" t="s">
        <v>3</v>
      </c>
      <c r="B8" s="2" t="s">
        <v>291</v>
      </c>
      <c r="C8" s="2" t="s">
        <v>199</v>
      </c>
      <c r="D8" s="2" t="s">
        <v>446</v>
      </c>
      <c r="E8" s="2" t="s">
        <v>200</v>
      </c>
      <c r="F8" s="2">
        <v>2020</v>
      </c>
      <c r="G8" s="10">
        <v>96843</v>
      </c>
      <c r="H8" s="10">
        <v>19718</v>
      </c>
      <c r="I8" s="10">
        <v>16515</v>
      </c>
      <c r="J8" s="10">
        <v>12059</v>
      </c>
      <c r="K8" s="10">
        <v>9225</v>
      </c>
      <c r="L8" s="10">
        <v>7130</v>
      </c>
      <c r="M8" s="10">
        <v>6301</v>
      </c>
      <c r="N8" s="10">
        <v>5040</v>
      </c>
      <c r="O8" s="10">
        <v>5028</v>
      </c>
      <c r="P8" s="10">
        <v>4512</v>
      </c>
      <c r="Q8" s="10">
        <v>3309</v>
      </c>
      <c r="R8" s="10">
        <v>2330</v>
      </c>
      <c r="S8" s="10">
        <v>1714</v>
      </c>
      <c r="T8" s="10">
        <v>1445</v>
      </c>
      <c r="U8" s="10">
        <v>1056</v>
      </c>
      <c r="V8" s="10">
        <v>769</v>
      </c>
      <c r="W8" s="10">
        <v>424</v>
      </c>
      <c r="X8" s="10">
        <v>268</v>
      </c>
      <c r="Y8" s="10">
        <v>47937</v>
      </c>
      <c r="Z8" s="10">
        <v>9968</v>
      </c>
      <c r="AA8" s="10">
        <v>8358</v>
      </c>
      <c r="AB8" s="10">
        <v>6268</v>
      </c>
      <c r="AC8" s="10">
        <v>4656</v>
      </c>
      <c r="AD8" s="10">
        <v>3398</v>
      </c>
      <c r="AE8" s="10">
        <v>3081</v>
      </c>
      <c r="AF8" s="10">
        <v>2373</v>
      </c>
      <c r="AG8" s="10">
        <v>2342</v>
      </c>
      <c r="AH8" s="10">
        <v>2164</v>
      </c>
      <c r="AI8" s="10">
        <v>1618</v>
      </c>
      <c r="AJ8" s="10">
        <v>1240</v>
      </c>
      <c r="AK8" s="10">
        <v>808</v>
      </c>
      <c r="AL8" s="10">
        <v>582</v>
      </c>
      <c r="AM8" s="10">
        <v>442</v>
      </c>
      <c r="AN8" s="10">
        <v>351</v>
      </c>
      <c r="AO8" s="10">
        <v>181</v>
      </c>
      <c r="AP8" s="10">
        <v>107</v>
      </c>
      <c r="AQ8" s="10">
        <v>48906</v>
      </c>
      <c r="AR8" s="10">
        <v>9750</v>
      </c>
      <c r="AS8" s="10">
        <v>8157</v>
      </c>
      <c r="AT8" s="10">
        <v>5791</v>
      </c>
      <c r="AU8" s="10">
        <v>4569</v>
      </c>
      <c r="AV8" s="10">
        <v>3732</v>
      </c>
      <c r="AW8" s="10">
        <v>3220</v>
      </c>
      <c r="AX8" s="10">
        <v>2667</v>
      </c>
      <c r="AY8" s="10">
        <v>2686</v>
      </c>
      <c r="AZ8" s="10">
        <v>2348</v>
      </c>
      <c r="BA8" s="10">
        <v>1691</v>
      </c>
      <c r="BB8" s="10">
        <v>1090</v>
      </c>
      <c r="BC8" s="10">
        <v>906</v>
      </c>
      <c r="BD8" s="10">
        <v>863</v>
      </c>
      <c r="BE8" s="10">
        <v>614</v>
      </c>
      <c r="BF8" s="10">
        <v>418</v>
      </c>
      <c r="BG8" s="10">
        <v>243</v>
      </c>
      <c r="BH8" s="10">
        <v>161</v>
      </c>
    </row>
    <row r="9" spans="1:60" ht="13.2" x14ac:dyDescent="0.25">
      <c r="A9" s="2" t="s">
        <v>3</v>
      </c>
      <c r="B9" s="2" t="s">
        <v>291</v>
      </c>
      <c r="C9" s="2" t="s">
        <v>114</v>
      </c>
      <c r="D9" s="2" t="s">
        <v>313</v>
      </c>
      <c r="E9" s="2" t="s">
        <v>116</v>
      </c>
      <c r="F9" s="2">
        <v>2020</v>
      </c>
      <c r="G9" s="10">
        <v>265315</v>
      </c>
      <c r="H9" s="10">
        <v>39841</v>
      </c>
      <c r="I9" s="10">
        <v>34234</v>
      </c>
      <c r="J9" s="10">
        <v>33642</v>
      </c>
      <c r="K9" s="10">
        <v>31734</v>
      </c>
      <c r="L9" s="10">
        <v>26815</v>
      </c>
      <c r="M9" s="10">
        <v>22964</v>
      </c>
      <c r="N9" s="10">
        <v>18020</v>
      </c>
      <c r="O9" s="10">
        <v>14360</v>
      </c>
      <c r="P9" s="10">
        <v>12274</v>
      </c>
      <c r="Q9" s="10">
        <v>9444</v>
      </c>
      <c r="R9" s="10">
        <v>7214</v>
      </c>
      <c r="S9" s="10">
        <v>5655</v>
      </c>
      <c r="T9" s="10">
        <v>3824</v>
      </c>
      <c r="U9" s="10">
        <v>2239</v>
      </c>
      <c r="V9" s="10">
        <v>1528</v>
      </c>
      <c r="W9" s="10">
        <v>869</v>
      </c>
      <c r="X9" s="10">
        <v>658</v>
      </c>
      <c r="Y9" s="10">
        <v>134697</v>
      </c>
      <c r="Z9" s="10">
        <v>20230</v>
      </c>
      <c r="AA9" s="10">
        <v>17222</v>
      </c>
      <c r="AB9" s="10">
        <v>16729</v>
      </c>
      <c r="AC9" s="10">
        <v>15697</v>
      </c>
      <c r="AD9" s="10">
        <v>13743</v>
      </c>
      <c r="AE9" s="10">
        <v>12004</v>
      </c>
      <c r="AF9" s="10">
        <v>9336</v>
      </c>
      <c r="AG9" s="10">
        <v>7405</v>
      </c>
      <c r="AH9" s="10">
        <v>6228</v>
      </c>
      <c r="AI9" s="10">
        <v>4837</v>
      </c>
      <c r="AJ9" s="10">
        <v>3724</v>
      </c>
      <c r="AK9" s="10">
        <v>2964</v>
      </c>
      <c r="AL9" s="10">
        <v>2033</v>
      </c>
      <c r="AM9" s="10">
        <v>1167</v>
      </c>
      <c r="AN9" s="10">
        <v>721</v>
      </c>
      <c r="AO9" s="10">
        <v>401</v>
      </c>
      <c r="AP9" s="10">
        <v>256</v>
      </c>
      <c r="AQ9" s="10">
        <v>130618</v>
      </c>
      <c r="AR9" s="10">
        <v>19611</v>
      </c>
      <c r="AS9" s="10">
        <v>17012</v>
      </c>
      <c r="AT9" s="10">
        <v>16913</v>
      </c>
      <c r="AU9" s="10">
        <v>16037</v>
      </c>
      <c r="AV9" s="10">
        <v>13072</v>
      </c>
      <c r="AW9" s="10">
        <v>10960</v>
      </c>
      <c r="AX9" s="10">
        <v>8684</v>
      </c>
      <c r="AY9" s="10">
        <v>6955</v>
      </c>
      <c r="AZ9" s="10">
        <v>6046</v>
      </c>
      <c r="BA9" s="10">
        <v>4607</v>
      </c>
      <c r="BB9" s="10">
        <v>3490</v>
      </c>
      <c r="BC9" s="10">
        <v>2691</v>
      </c>
      <c r="BD9" s="10">
        <v>1791</v>
      </c>
      <c r="BE9" s="10">
        <v>1072</v>
      </c>
      <c r="BF9" s="10">
        <v>807</v>
      </c>
      <c r="BG9" s="10">
        <v>468</v>
      </c>
      <c r="BH9" s="10">
        <v>402</v>
      </c>
    </row>
    <row r="10" spans="1:60" ht="13.2" x14ac:dyDescent="0.25">
      <c r="A10" s="2" t="s">
        <v>3</v>
      </c>
      <c r="B10" s="2" t="s">
        <v>291</v>
      </c>
      <c r="C10" s="2" t="s">
        <v>113</v>
      </c>
      <c r="D10" s="2" t="s">
        <v>404</v>
      </c>
      <c r="E10" s="2" t="s">
        <v>191</v>
      </c>
      <c r="F10" s="2">
        <v>2020</v>
      </c>
      <c r="G10" s="10">
        <v>162867</v>
      </c>
      <c r="H10" s="10">
        <v>30983</v>
      </c>
      <c r="I10" s="10">
        <v>27456</v>
      </c>
      <c r="J10" s="10">
        <v>22096</v>
      </c>
      <c r="K10" s="10">
        <v>16489</v>
      </c>
      <c r="L10" s="10">
        <v>13072</v>
      </c>
      <c r="M10" s="10">
        <v>10669</v>
      </c>
      <c r="N10" s="10">
        <v>8691</v>
      </c>
      <c r="O10" s="10">
        <v>7561</v>
      </c>
      <c r="P10" s="10">
        <v>6740</v>
      </c>
      <c r="Q10" s="10">
        <v>5454</v>
      </c>
      <c r="R10" s="10">
        <v>3602</v>
      </c>
      <c r="S10" s="10">
        <v>2756</v>
      </c>
      <c r="T10" s="10">
        <v>2367</v>
      </c>
      <c r="U10" s="10">
        <v>1841</v>
      </c>
      <c r="V10" s="10">
        <v>1406</v>
      </c>
      <c r="W10" s="10">
        <v>993</v>
      </c>
      <c r="X10" s="10">
        <v>691</v>
      </c>
      <c r="Y10" s="10">
        <v>81505</v>
      </c>
      <c r="Z10" s="10">
        <v>15518</v>
      </c>
      <c r="AA10" s="10">
        <v>13846</v>
      </c>
      <c r="AB10" s="10">
        <v>11414</v>
      </c>
      <c r="AC10" s="10">
        <v>8494</v>
      </c>
      <c r="AD10" s="10">
        <v>6327</v>
      </c>
      <c r="AE10" s="10">
        <v>5240</v>
      </c>
      <c r="AF10" s="10">
        <v>4297</v>
      </c>
      <c r="AG10" s="10">
        <v>3632</v>
      </c>
      <c r="AH10" s="10">
        <v>3400</v>
      </c>
      <c r="AI10" s="10">
        <v>2858</v>
      </c>
      <c r="AJ10" s="10">
        <v>1967</v>
      </c>
      <c r="AK10" s="10">
        <v>1288</v>
      </c>
      <c r="AL10" s="10">
        <v>983</v>
      </c>
      <c r="AM10" s="10">
        <v>859</v>
      </c>
      <c r="AN10" s="10">
        <v>649</v>
      </c>
      <c r="AO10" s="10">
        <v>427</v>
      </c>
      <c r="AP10" s="10">
        <v>306</v>
      </c>
      <c r="AQ10" s="10">
        <v>81362</v>
      </c>
      <c r="AR10" s="10">
        <v>15465</v>
      </c>
      <c r="AS10" s="10">
        <v>13610</v>
      </c>
      <c r="AT10" s="10">
        <v>10682</v>
      </c>
      <c r="AU10" s="10">
        <v>7995</v>
      </c>
      <c r="AV10" s="10">
        <v>6745</v>
      </c>
      <c r="AW10" s="10">
        <v>5429</v>
      </c>
      <c r="AX10" s="10">
        <v>4394</v>
      </c>
      <c r="AY10" s="10">
        <v>3929</v>
      </c>
      <c r="AZ10" s="10">
        <v>3340</v>
      </c>
      <c r="BA10" s="10">
        <v>2596</v>
      </c>
      <c r="BB10" s="10">
        <v>1635</v>
      </c>
      <c r="BC10" s="10">
        <v>1468</v>
      </c>
      <c r="BD10" s="10">
        <v>1384</v>
      </c>
      <c r="BE10" s="10">
        <v>982</v>
      </c>
      <c r="BF10" s="10">
        <v>757</v>
      </c>
      <c r="BG10" s="10">
        <v>566</v>
      </c>
      <c r="BH10" s="10">
        <v>385</v>
      </c>
    </row>
    <row r="11" spans="1:60" ht="13.2" x14ac:dyDescent="0.25">
      <c r="A11" s="2" t="s">
        <v>3</v>
      </c>
      <c r="B11" s="2" t="s">
        <v>291</v>
      </c>
      <c r="C11" s="2" t="s">
        <v>138</v>
      </c>
      <c r="D11" s="2" t="s">
        <v>335</v>
      </c>
      <c r="E11" s="2" t="s">
        <v>141</v>
      </c>
      <c r="F11" s="2">
        <v>2020</v>
      </c>
      <c r="G11" s="10">
        <v>552704</v>
      </c>
      <c r="H11" s="10">
        <v>98046</v>
      </c>
      <c r="I11" s="10">
        <v>84482</v>
      </c>
      <c r="J11" s="10">
        <v>73272</v>
      </c>
      <c r="K11" s="10">
        <v>59725</v>
      </c>
      <c r="L11" s="10">
        <v>49502</v>
      </c>
      <c r="M11" s="10">
        <v>40680</v>
      </c>
      <c r="N11" s="10">
        <v>33259</v>
      </c>
      <c r="O11" s="10">
        <v>27999</v>
      </c>
      <c r="P11" s="10">
        <v>23045</v>
      </c>
      <c r="Q11" s="10">
        <v>17325</v>
      </c>
      <c r="R11" s="10">
        <v>12558</v>
      </c>
      <c r="S11" s="10">
        <v>9439</v>
      </c>
      <c r="T11" s="10">
        <v>7880</v>
      </c>
      <c r="U11" s="10">
        <v>5478</v>
      </c>
      <c r="V11" s="10">
        <v>4468</v>
      </c>
      <c r="W11" s="10">
        <v>2996</v>
      </c>
      <c r="X11" s="10">
        <v>2550</v>
      </c>
      <c r="Y11" s="10">
        <v>276140</v>
      </c>
      <c r="Z11" s="10">
        <v>49138</v>
      </c>
      <c r="AA11" s="10">
        <v>42495</v>
      </c>
      <c r="AB11" s="10">
        <v>37020</v>
      </c>
      <c r="AC11" s="10">
        <v>30720</v>
      </c>
      <c r="AD11" s="10">
        <v>24992</v>
      </c>
      <c r="AE11" s="10">
        <v>20459</v>
      </c>
      <c r="AF11" s="10">
        <v>16778</v>
      </c>
      <c r="AG11" s="10">
        <v>14095</v>
      </c>
      <c r="AH11" s="10">
        <v>11569</v>
      </c>
      <c r="AI11" s="10">
        <v>8713</v>
      </c>
      <c r="AJ11" s="10">
        <v>6369</v>
      </c>
      <c r="AK11" s="10">
        <v>4388</v>
      </c>
      <c r="AL11" s="10">
        <v>3334</v>
      </c>
      <c r="AM11" s="10">
        <v>2309</v>
      </c>
      <c r="AN11" s="10">
        <v>1826</v>
      </c>
      <c r="AO11" s="10">
        <v>1128</v>
      </c>
      <c r="AP11" s="10">
        <v>807</v>
      </c>
      <c r="AQ11" s="10">
        <v>276564</v>
      </c>
      <c r="AR11" s="10">
        <v>48908</v>
      </c>
      <c r="AS11" s="10">
        <v>41987</v>
      </c>
      <c r="AT11" s="10">
        <v>36252</v>
      </c>
      <c r="AU11" s="10">
        <v>29005</v>
      </c>
      <c r="AV11" s="10">
        <v>24510</v>
      </c>
      <c r="AW11" s="10">
        <v>20221</v>
      </c>
      <c r="AX11" s="10">
        <v>16481</v>
      </c>
      <c r="AY11" s="10">
        <v>13904</v>
      </c>
      <c r="AZ11" s="10">
        <v>11476</v>
      </c>
      <c r="BA11" s="10">
        <v>8612</v>
      </c>
      <c r="BB11" s="10">
        <v>6189</v>
      </c>
      <c r="BC11" s="10">
        <v>5051</v>
      </c>
      <c r="BD11" s="10">
        <v>4546</v>
      </c>
      <c r="BE11" s="10">
        <v>3169</v>
      </c>
      <c r="BF11" s="10">
        <v>2642</v>
      </c>
      <c r="BG11" s="10">
        <v>1868</v>
      </c>
      <c r="BH11" s="10">
        <v>1743</v>
      </c>
    </row>
    <row r="12" spans="1:60" ht="13.2" x14ac:dyDescent="0.25">
      <c r="A12" s="2" t="s">
        <v>3</v>
      </c>
      <c r="B12" s="2" t="s">
        <v>291</v>
      </c>
      <c r="C12" s="2" t="s">
        <v>231</v>
      </c>
      <c r="D12" s="2" t="s">
        <v>470</v>
      </c>
      <c r="E12" s="2" t="s">
        <v>232</v>
      </c>
      <c r="F12" s="2">
        <v>2020</v>
      </c>
      <c r="G12" s="10">
        <v>313803</v>
      </c>
      <c r="H12" s="10">
        <v>59262</v>
      </c>
      <c r="I12" s="10">
        <v>49773</v>
      </c>
      <c r="J12" s="10">
        <v>41440</v>
      </c>
      <c r="K12" s="10">
        <v>36418</v>
      </c>
      <c r="L12" s="10">
        <v>28479</v>
      </c>
      <c r="M12" s="10">
        <v>21551</v>
      </c>
      <c r="N12" s="10">
        <v>17939</v>
      </c>
      <c r="O12" s="10">
        <v>14797</v>
      </c>
      <c r="P12" s="10">
        <v>12621</v>
      </c>
      <c r="Q12" s="10">
        <v>9064</v>
      </c>
      <c r="R12" s="10">
        <v>6799</v>
      </c>
      <c r="S12" s="10">
        <v>4927</v>
      </c>
      <c r="T12" s="10">
        <v>3697</v>
      </c>
      <c r="U12" s="10">
        <v>2617</v>
      </c>
      <c r="V12" s="10">
        <v>2060</v>
      </c>
      <c r="W12" s="10">
        <v>1297</v>
      </c>
      <c r="X12" s="10">
        <v>1062</v>
      </c>
      <c r="Y12" s="10">
        <v>155041</v>
      </c>
      <c r="Z12" s="10">
        <v>29991</v>
      </c>
      <c r="AA12" s="10">
        <v>24760</v>
      </c>
      <c r="AB12" s="10">
        <v>20877</v>
      </c>
      <c r="AC12" s="10">
        <v>18594</v>
      </c>
      <c r="AD12" s="10">
        <v>14467</v>
      </c>
      <c r="AE12" s="10">
        <v>10704</v>
      </c>
      <c r="AF12" s="10">
        <v>8601</v>
      </c>
      <c r="AG12" s="10">
        <v>7002</v>
      </c>
      <c r="AH12" s="10">
        <v>5924</v>
      </c>
      <c r="AI12" s="10">
        <v>4282</v>
      </c>
      <c r="AJ12" s="10">
        <v>3259</v>
      </c>
      <c r="AK12" s="10">
        <v>2240</v>
      </c>
      <c r="AL12" s="10">
        <v>1506</v>
      </c>
      <c r="AM12" s="10">
        <v>1103</v>
      </c>
      <c r="AN12" s="10">
        <v>852</v>
      </c>
      <c r="AO12" s="10">
        <v>518</v>
      </c>
      <c r="AP12" s="10">
        <v>361</v>
      </c>
      <c r="AQ12" s="10">
        <v>158762</v>
      </c>
      <c r="AR12" s="10">
        <v>29271</v>
      </c>
      <c r="AS12" s="10">
        <v>25013</v>
      </c>
      <c r="AT12" s="10">
        <v>20563</v>
      </c>
      <c r="AU12" s="10">
        <v>17824</v>
      </c>
      <c r="AV12" s="10">
        <v>14012</v>
      </c>
      <c r="AW12" s="10">
        <v>10847</v>
      </c>
      <c r="AX12" s="10">
        <v>9338</v>
      </c>
      <c r="AY12" s="10">
        <v>7795</v>
      </c>
      <c r="AZ12" s="10">
        <v>6697</v>
      </c>
      <c r="BA12" s="10">
        <v>4782</v>
      </c>
      <c r="BB12" s="10">
        <v>3540</v>
      </c>
      <c r="BC12" s="10">
        <v>2687</v>
      </c>
      <c r="BD12" s="10">
        <v>2191</v>
      </c>
      <c r="BE12" s="10">
        <v>1514</v>
      </c>
      <c r="BF12" s="10">
        <v>1208</v>
      </c>
      <c r="BG12" s="10">
        <v>779</v>
      </c>
      <c r="BH12" s="10">
        <v>701</v>
      </c>
    </row>
    <row r="13" spans="1:60" ht="13.2" x14ac:dyDescent="0.25">
      <c r="A13" s="2" t="s">
        <v>3</v>
      </c>
      <c r="B13" s="2" t="s">
        <v>291</v>
      </c>
      <c r="C13" s="2" t="s">
        <v>174</v>
      </c>
      <c r="D13" s="2" t="s">
        <v>387</v>
      </c>
      <c r="E13" s="2" t="s">
        <v>175</v>
      </c>
      <c r="F13" s="2">
        <v>2020</v>
      </c>
      <c r="G13" s="10">
        <v>260921</v>
      </c>
      <c r="H13" s="10">
        <v>45918</v>
      </c>
      <c r="I13" s="10">
        <v>38880</v>
      </c>
      <c r="J13" s="10">
        <v>34545</v>
      </c>
      <c r="K13" s="10">
        <v>29210</v>
      </c>
      <c r="L13" s="10">
        <v>23188</v>
      </c>
      <c r="M13" s="10">
        <v>18695</v>
      </c>
      <c r="N13" s="10">
        <v>15989</v>
      </c>
      <c r="O13" s="10">
        <v>13346</v>
      </c>
      <c r="P13" s="10">
        <v>11360</v>
      </c>
      <c r="Q13" s="10">
        <v>8175</v>
      </c>
      <c r="R13" s="10">
        <v>6308</v>
      </c>
      <c r="S13" s="10">
        <v>4382</v>
      </c>
      <c r="T13" s="10">
        <v>3728</v>
      </c>
      <c r="U13" s="10">
        <v>2771</v>
      </c>
      <c r="V13" s="10">
        <v>2054</v>
      </c>
      <c r="W13" s="10">
        <v>1295</v>
      </c>
      <c r="X13" s="10">
        <v>1077</v>
      </c>
      <c r="Y13" s="10">
        <v>132760</v>
      </c>
      <c r="Z13" s="10">
        <v>23066</v>
      </c>
      <c r="AA13" s="10">
        <v>19714</v>
      </c>
      <c r="AB13" s="10">
        <v>17301</v>
      </c>
      <c r="AC13" s="10">
        <v>15181</v>
      </c>
      <c r="AD13" s="10">
        <v>11919</v>
      </c>
      <c r="AE13" s="10">
        <v>9600</v>
      </c>
      <c r="AF13" s="10">
        <v>8245</v>
      </c>
      <c r="AG13" s="10">
        <v>7057</v>
      </c>
      <c r="AH13" s="10">
        <v>5990</v>
      </c>
      <c r="AI13" s="10">
        <v>4366</v>
      </c>
      <c r="AJ13" s="10">
        <v>3231</v>
      </c>
      <c r="AK13" s="10">
        <v>2126</v>
      </c>
      <c r="AL13" s="10">
        <v>1691</v>
      </c>
      <c r="AM13" s="10">
        <v>1334</v>
      </c>
      <c r="AN13" s="10">
        <v>955</v>
      </c>
      <c r="AO13" s="10">
        <v>553</v>
      </c>
      <c r="AP13" s="10">
        <v>431</v>
      </c>
      <c r="AQ13" s="10">
        <v>128161</v>
      </c>
      <c r="AR13" s="10">
        <v>22852</v>
      </c>
      <c r="AS13" s="10">
        <v>19166</v>
      </c>
      <c r="AT13" s="10">
        <v>17244</v>
      </c>
      <c r="AU13" s="10">
        <v>14029</v>
      </c>
      <c r="AV13" s="10">
        <v>11269</v>
      </c>
      <c r="AW13" s="10">
        <v>9095</v>
      </c>
      <c r="AX13" s="10">
        <v>7744</v>
      </c>
      <c r="AY13" s="10">
        <v>6289</v>
      </c>
      <c r="AZ13" s="10">
        <v>5370</v>
      </c>
      <c r="BA13" s="10">
        <v>3809</v>
      </c>
      <c r="BB13" s="10">
        <v>3077</v>
      </c>
      <c r="BC13" s="10">
        <v>2256</v>
      </c>
      <c r="BD13" s="10">
        <v>2037</v>
      </c>
      <c r="BE13" s="10">
        <v>1437</v>
      </c>
      <c r="BF13" s="10">
        <v>1099</v>
      </c>
      <c r="BG13" s="10">
        <v>742</v>
      </c>
      <c r="BH13" s="10">
        <v>646</v>
      </c>
    </row>
    <row r="14" spans="1:60" ht="13.2" x14ac:dyDescent="0.25">
      <c r="A14" s="2" t="s">
        <v>3</v>
      </c>
      <c r="B14" s="2" t="s">
        <v>291</v>
      </c>
      <c r="C14" s="2" t="s">
        <v>231</v>
      </c>
      <c r="D14" s="2" t="s">
        <v>470</v>
      </c>
      <c r="E14" s="2" t="s">
        <v>235</v>
      </c>
      <c r="F14" s="2">
        <v>2020</v>
      </c>
      <c r="G14" s="10">
        <v>79926</v>
      </c>
      <c r="H14" s="10">
        <v>15727</v>
      </c>
      <c r="I14" s="10">
        <v>13463</v>
      </c>
      <c r="J14" s="10">
        <v>10881</v>
      </c>
      <c r="K14" s="10">
        <v>8660</v>
      </c>
      <c r="L14" s="10">
        <v>7163</v>
      </c>
      <c r="M14" s="10">
        <v>5309</v>
      </c>
      <c r="N14" s="10">
        <v>4094</v>
      </c>
      <c r="O14" s="10">
        <v>3589</v>
      </c>
      <c r="P14" s="10">
        <v>3154</v>
      </c>
      <c r="Q14" s="10">
        <v>2510</v>
      </c>
      <c r="R14" s="10">
        <v>1590</v>
      </c>
      <c r="S14" s="10">
        <v>1143</v>
      </c>
      <c r="T14" s="10">
        <v>893</v>
      </c>
      <c r="U14" s="10">
        <v>661</v>
      </c>
      <c r="V14" s="10">
        <v>499</v>
      </c>
      <c r="W14" s="10">
        <v>318</v>
      </c>
      <c r="X14" s="10">
        <v>272</v>
      </c>
      <c r="Y14" s="10">
        <v>39497</v>
      </c>
      <c r="Z14" s="10">
        <v>7986</v>
      </c>
      <c r="AA14" s="10">
        <v>6762</v>
      </c>
      <c r="AB14" s="10">
        <v>5505</v>
      </c>
      <c r="AC14" s="10">
        <v>4412</v>
      </c>
      <c r="AD14" s="10">
        <v>3769</v>
      </c>
      <c r="AE14" s="10">
        <v>2567</v>
      </c>
      <c r="AF14" s="10">
        <v>1855</v>
      </c>
      <c r="AG14" s="10">
        <v>1646</v>
      </c>
      <c r="AH14" s="10">
        <v>1405</v>
      </c>
      <c r="AI14" s="10">
        <v>1240</v>
      </c>
      <c r="AJ14" s="10">
        <v>804</v>
      </c>
      <c r="AK14" s="10">
        <v>504</v>
      </c>
      <c r="AL14" s="10">
        <v>359</v>
      </c>
      <c r="AM14" s="10">
        <v>299</v>
      </c>
      <c r="AN14" s="10">
        <v>164</v>
      </c>
      <c r="AO14" s="10">
        <v>128</v>
      </c>
      <c r="AP14" s="10">
        <v>92</v>
      </c>
      <c r="AQ14" s="10">
        <v>40429</v>
      </c>
      <c r="AR14" s="10">
        <v>7741</v>
      </c>
      <c r="AS14" s="10">
        <v>6701</v>
      </c>
      <c r="AT14" s="10">
        <v>5376</v>
      </c>
      <c r="AU14" s="10">
        <v>4248</v>
      </c>
      <c r="AV14" s="10">
        <v>3394</v>
      </c>
      <c r="AW14" s="10">
        <v>2742</v>
      </c>
      <c r="AX14" s="10">
        <v>2239</v>
      </c>
      <c r="AY14" s="10">
        <v>1943</v>
      </c>
      <c r="AZ14" s="10">
        <v>1749</v>
      </c>
      <c r="BA14" s="10">
        <v>1270</v>
      </c>
      <c r="BB14" s="10">
        <v>786</v>
      </c>
      <c r="BC14" s="10">
        <v>639</v>
      </c>
      <c r="BD14" s="10">
        <v>534</v>
      </c>
      <c r="BE14" s="10">
        <v>362</v>
      </c>
      <c r="BF14" s="10">
        <v>335</v>
      </c>
      <c r="BG14" s="10">
        <v>190</v>
      </c>
      <c r="BH14" s="10">
        <v>180</v>
      </c>
    </row>
    <row r="15" spans="1:60" ht="13.2" x14ac:dyDescent="0.25">
      <c r="A15" s="2" t="s">
        <v>3</v>
      </c>
      <c r="B15" s="2" t="s">
        <v>291</v>
      </c>
      <c r="C15" s="2" t="s">
        <v>215</v>
      </c>
      <c r="D15" s="2" t="s">
        <v>422</v>
      </c>
      <c r="E15" s="2" t="s">
        <v>217</v>
      </c>
      <c r="F15" s="2">
        <v>2020</v>
      </c>
      <c r="G15" s="10">
        <v>33631</v>
      </c>
      <c r="H15" s="10">
        <v>6484</v>
      </c>
      <c r="I15" s="10">
        <v>5601</v>
      </c>
      <c r="J15" s="10">
        <v>4680</v>
      </c>
      <c r="K15" s="10">
        <v>3601</v>
      </c>
      <c r="L15" s="10">
        <v>2634</v>
      </c>
      <c r="M15" s="10">
        <v>2146</v>
      </c>
      <c r="N15" s="10">
        <v>1713</v>
      </c>
      <c r="O15" s="10">
        <v>1360</v>
      </c>
      <c r="P15" s="10">
        <v>1395</v>
      </c>
      <c r="Q15" s="10">
        <v>1149</v>
      </c>
      <c r="R15" s="10">
        <v>798</v>
      </c>
      <c r="S15" s="10">
        <v>600</v>
      </c>
      <c r="T15" s="10">
        <v>486</v>
      </c>
      <c r="U15" s="10">
        <v>331</v>
      </c>
      <c r="V15" s="10">
        <v>279</v>
      </c>
      <c r="W15" s="10">
        <v>203</v>
      </c>
      <c r="X15" s="10">
        <v>171</v>
      </c>
      <c r="Y15" s="10">
        <v>16675</v>
      </c>
      <c r="Z15" s="10">
        <v>3294</v>
      </c>
      <c r="AA15" s="10">
        <v>2829</v>
      </c>
      <c r="AB15" s="10">
        <v>2446</v>
      </c>
      <c r="AC15" s="10">
        <v>1957</v>
      </c>
      <c r="AD15" s="10">
        <v>1357</v>
      </c>
      <c r="AE15" s="10">
        <v>1009</v>
      </c>
      <c r="AF15" s="10">
        <v>801</v>
      </c>
      <c r="AG15" s="10">
        <v>591</v>
      </c>
      <c r="AH15" s="10">
        <v>656</v>
      </c>
      <c r="AI15" s="10">
        <v>518</v>
      </c>
      <c r="AJ15" s="10">
        <v>386</v>
      </c>
      <c r="AK15" s="10">
        <v>267</v>
      </c>
      <c r="AL15" s="10">
        <v>176</v>
      </c>
      <c r="AM15" s="10">
        <v>137</v>
      </c>
      <c r="AN15" s="10">
        <v>111</v>
      </c>
      <c r="AO15" s="10">
        <v>80</v>
      </c>
      <c r="AP15" s="10">
        <v>60</v>
      </c>
      <c r="AQ15" s="10">
        <v>16956</v>
      </c>
      <c r="AR15" s="10">
        <v>3190</v>
      </c>
      <c r="AS15" s="10">
        <v>2772</v>
      </c>
      <c r="AT15" s="10">
        <v>2234</v>
      </c>
      <c r="AU15" s="10">
        <v>1644</v>
      </c>
      <c r="AV15" s="10">
        <v>1277</v>
      </c>
      <c r="AW15" s="10">
        <v>1137</v>
      </c>
      <c r="AX15" s="10">
        <v>912</v>
      </c>
      <c r="AY15" s="10">
        <v>769</v>
      </c>
      <c r="AZ15" s="10">
        <v>739</v>
      </c>
      <c r="BA15" s="10">
        <v>631</v>
      </c>
      <c r="BB15" s="10">
        <v>412</v>
      </c>
      <c r="BC15" s="10">
        <v>333</v>
      </c>
      <c r="BD15" s="10">
        <v>310</v>
      </c>
      <c r="BE15" s="10">
        <v>194</v>
      </c>
      <c r="BF15" s="10">
        <v>168</v>
      </c>
      <c r="BG15" s="10">
        <v>123</v>
      </c>
      <c r="BH15" s="10">
        <v>111</v>
      </c>
    </row>
    <row r="16" spans="1:60" ht="13.2" x14ac:dyDescent="0.25">
      <c r="A16" s="2" t="s">
        <v>3</v>
      </c>
      <c r="B16" s="2" t="s">
        <v>291</v>
      </c>
      <c r="C16" s="2" t="s">
        <v>113</v>
      </c>
      <c r="D16" s="2" t="s">
        <v>404</v>
      </c>
      <c r="E16" s="2" t="s">
        <v>193</v>
      </c>
      <c r="F16" s="2">
        <v>2020</v>
      </c>
      <c r="G16" s="10">
        <v>88538</v>
      </c>
      <c r="H16" s="10">
        <v>16134</v>
      </c>
      <c r="I16" s="10">
        <v>14212</v>
      </c>
      <c r="J16" s="10">
        <v>11572</v>
      </c>
      <c r="K16" s="10">
        <v>9608</v>
      </c>
      <c r="L16" s="10">
        <v>7731</v>
      </c>
      <c r="M16" s="10">
        <v>5928</v>
      </c>
      <c r="N16" s="10">
        <v>4479</v>
      </c>
      <c r="O16" s="10">
        <v>4375</v>
      </c>
      <c r="P16" s="10">
        <v>3777</v>
      </c>
      <c r="Q16" s="10">
        <v>2960</v>
      </c>
      <c r="R16" s="10">
        <v>2219</v>
      </c>
      <c r="S16" s="10">
        <v>1668</v>
      </c>
      <c r="T16" s="10">
        <v>1355</v>
      </c>
      <c r="U16" s="10">
        <v>985</v>
      </c>
      <c r="V16" s="10">
        <v>743</v>
      </c>
      <c r="W16" s="10">
        <v>449</v>
      </c>
      <c r="X16" s="10">
        <v>343</v>
      </c>
      <c r="Y16" s="10">
        <v>43822</v>
      </c>
      <c r="Z16" s="10">
        <v>8134</v>
      </c>
      <c r="AA16" s="10">
        <v>7153</v>
      </c>
      <c r="AB16" s="10">
        <v>5891</v>
      </c>
      <c r="AC16" s="10">
        <v>4772</v>
      </c>
      <c r="AD16" s="10">
        <v>3924</v>
      </c>
      <c r="AE16" s="10">
        <v>2964</v>
      </c>
      <c r="AF16" s="10">
        <v>2123</v>
      </c>
      <c r="AG16" s="10">
        <v>2001</v>
      </c>
      <c r="AH16" s="10">
        <v>1841</v>
      </c>
      <c r="AI16" s="10">
        <v>1450</v>
      </c>
      <c r="AJ16" s="10">
        <v>1101</v>
      </c>
      <c r="AK16" s="10">
        <v>763</v>
      </c>
      <c r="AL16" s="10">
        <v>555</v>
      </c>
      <c r="AM16" s="10">
        <v>456</v>
      </c>
      <c r="AN16" s="10">
        <v>335</v>
      </c>
      <c r="AO16" s="10">
        <v>228</v>
      </c>
      <c r="AP16" s="10">
        <v>131</v>
      </c>
      <c r="AQ16" s="10">
        <v>44716</v>
      </c>
      <c r="AR16" s="10">
        <v>8000</v>
      </c>
      <c r="AS16" s="10">
        <v>7059</v>
      </c>
      <c r="AT16" s="10">
        <v>5681</v>
      </c>
      <c r="AU16" s="10">
        <v>4836</v>
      </c>
      <c r="AV16" s="10">
        <v>3807</v>
      </c>
      <c r="AW16" s="10">
        <v>2964</v>
      </c>
      <c r="AX16" s="10">
        <v>2356</v>
      </c>
      <c r="AY16" s="10">
        <v>2374</v>
      </c>
      <c r="AZ16" s="10">
        <v>1936</v>
      </c>
      <c r="BA16" s="10">
        <v>1510</v>
      </c>
      <c r="BB16" s="10">
        <v>1118</v>
      </c>
      <c r="BC16" s="10">
        <v>905</v>
      </c>
      <c r="BD16" s="10">
        <v>800</v>
      </c>
      <c r="BE16" s="10">
        <v>529</v>
      </c>
      <c r="BF16" s="10">
        <v>408</v>
      </c>
      <c r="BG16" s="10">
        <v>221</v>
      </c>
      <c r="BH16" s="10">
        <v>212</v>
      </c>
    </row>
    <row r="17" spans="1:60" ht="13.2" x14ac:dyDescent="0.25">
      <c r="A17" s="2" t="s">
        <v>3</v>
      </c>
      <c r="B17" s="2" t="s">
        <v>291</v>
      </c>
      <c r="C17" s="2" t="s">
        <v>231</v>
      </c>
      <c r="D17" s="2" t="s">
        <v>470</v>
      </c>
      <c r="E17" s="2" t="s">
        <v>236</v>
      </c>
      <c r="F17" s="2">
        <v>2020</v>
      </c>
      <c r="G17" s="10">
        <v>105475</v>
      </c>
      <c r="H17" s="10">
        <v>20484</v>
      </c>
      <c r="I17" s="10">
        <v>17399</v>
      </c>
      <c r="J17" s="10">
        <v>14037</v>
      </c>
      <c r="K17" s="10">
        <v>11132</v>
      </c>
      <c r="L17" s="10">
        <v>9178</v>
      </c>
      <c r="M17" s="10">
        <v>7056</v>
      </c>
      <c r="N17" s="10">
        <v>6163</v>
      </c>
      <c r="O17" s="10">
        <v>4918</v>
      </c>
      <c r="P17" s="10">
        <v>4161</v>
      </c>
      <c r="Q17" s="10">
        <v>3045</v>
      </c>
      <c r="R17" s="10">
        <v>2258</v>
      </c>
      <c r="S17" s="10">
        <v>1721</v>
      </c>
      <c r="T17" s="10">
        <v>1283</v>
      </c>
      <c r="U17" s="10">
        <v>978</v>
      </c>
      <c r="V17" s="10">
        <v>773</v>
      </c>
      <c r="W17" s="10">
        <v>486</v>
      </c>
      <c r="X17" s="10">
        <v>403</v>
      </c>
      <c r="Y17" s="10">
        <v>52911</v>
      </c>
      <c r="Z17" s="10">
        <v>10321</v>
      </c>
      <c r="AA17" s="10">
        <v>8775</v>
      </c>
      <c r="AB17" s="10">
        <v>7112</v>
      </c>
      <c r="AC17" s="10">
        <v>5683</v>
      </c>
      <c r="AD17" s="10">
        <v>4641</v>
      </c>
      <c r="AE17" s="10">
        <v>3465</v>
      </c>
      <c r="AF17" s="10">
        <v>3104</v>
      </c>
      <c r="AG17" s="10">
        <v>2463</v>
      </c>
      <c r="AH17" s="10">
        <v>1974</v>
      </c>
      <c r="AI17" s="10">
        <v>1519</v>
      </c>
      <c r="AJ17" s="10">
        <v>1150</v>
      </c>
      <c r="AK17" s="10">
        <v>862</v>
      </c>
      <c r="AL17" s="10">
        <v>592</v>
      </c>
      <c r="AM17" s="10">
        <v>447</v>
      </c>
      <c r="AN17" s="10">
        <v>374</v>
      </c>
      <c r="AO17" s="10">
        <v>249</v>
      </c>
      <c r="AP17" s="10">
        <v>180</v>
      </c>
      <c r="AQ17" s="10">
        <v>52564</v>
      </c>
      <c r="AR17" s="10">
        <v>10163</v>
      </c>
      <c r="AS17" s="10">
        <v>8624</v>
      </c>
      <c r="AT17" s="10">
        <v>6925</v>
      </c>
      <c r="AU17" s="10">
        <v>5449</v>
      </c>
      <c r="AV17" s="10">
        <v>4537</v>
      </c>
      <c r="AW17" s="10">
        <v>3591</v>
      </c>
      <c r="AX17" s="10">
        <v>3059</v>
      </c>
      <c r="AY17" s="10">
        <v>2455</v>
      </c>
      <c r="AZ17" s="10">
        <v>2187</v>
      </c>
      <c r="BA17" s="10">
        <v>1526</v>
      </c>
      <c r="BB17" s="10">
        <v>1108</v>
      </c>
      <c r="BC17" s="10">
        <v>859</v>
      </c>
      <c r="BD17" s="10">
        <v>691</v>
      </c>
      <c r="BE17" s="10">
        <v>531</v>
      </c>
      <c r="BF17" s="10">
        <v>399</v>
      </c>
      <c r="BG17" s="10">
        <v>237</v>
      </c>
      <c r="BH17" s="10">
        <v>223</v>
      </c>
    </row>
    <row r="18" spans="1:60" ht="13.2" x14ac:dyDescent="0.25">
      <c r="A18" s="2" t="s">
        <v>3</v>
      </c>
      <c r="B18" s="2" t="s">
        <v>291</v>
      </c>
      <c r="C18" s="2" t="s">
        <v>215</v>
      </c>
      <c r="D18" s="2" t="s">
        <v>422</v>
      </c>
      <c r="E18" s="2" t="s">
        <v>218</v>
      </c>
      <c r="F18" s="2">
        <v>2020</v>
      </c>
      <c r="G18" s="10">
        <v>116275</v>
      </c>
      <c r="H18" s="10">
        <v>21935</v>
      </c>
      <c r="I18" s="10">
        <v>19121</v>
      </c>
      <c r="J18" s="10">
        <v>15994</v>
      </c>
      <c r="K18" s="10">
        <v>12113</v>
      </c>
      <c r="L18" s="10">
        <v>9466</v>
      </c>
      <c r="M18" s="10">
        <v>7309</v>
      </c>
      <c r="N18" s="10">
        <v>6495</v>
      </c>
      <c r="O18" s="10">
        <v>5464</v>
      </c>
      <c r="P18" s="10">
        <v>5046</v>
      </c>
      <c r="Q18" s="10">
        <v>3470</v>
      </c>
      <c r="R18" s="10">
        <v>2451</v>
      </c>
      <c r="S18" s="10">
        <v>2034</v>
      </c>
      <c r="T18" s="10">
        <v>1661</v>
      </c>
      <c r="U18" s="10">
        <v>1249</v>
      </c>
      <c r="V18" s="10">
        <v>1027</v>
      </c>
      <c r="W18" s="10">
        <v>762</v>
      </c>
      <c r="X18" s="10">
        <v>678</v>
      </c>
      <c r="Y18" s="10">
        <v>57497</v>
      </c>
      <c r="Z18" s="10">
        <v>11141</v>
      </c>
      <c r="AA18" s="10">
        <v>9660</v>
      </c>
      <c r="AB18" s="10">
        <v>8180</v>
      </c>
      <c r="AC18" s="10">
        <v>6202</v>
      </c>
      <c r="AD18" s="10">
        <v>4892</v>
      </c>
      <c r="AE18" s="10">
        <v>3485</v>
      </c>
      <c r="AF18" s="10">
        <v>3072</v>
      </c>
      <c r="AG18" s="10">
        <v>2472</v>
      </c>
      <c r="AH18" s="10">
        <v>2330</v>
      </c>
      <c r="AI18" s="10">
        <v>1708</v>
      </c>
      <c r="AJ18" s="10">
        <v>1152</v>
      </c>
      <c r="AK18" s="10">
        <v>916</v>
      </c>
      <c r="AL18" s="10">
        <v>657</v>
      </c>
      <c r="AM18" s="10">
        <v>511</v>
      </c>
      <c r="AN18" s="10">
        <v>450</v>
      </c>
      <c r="AO18" s="10">
        <v>363</v>
      </c>
      <c r="AP18" s="10">
        <v>306</v>
      </c>
      <c r="AQ18" s="10">
        <v>58778</v>
      </c>
      <c r="AR18" s="10">
        <v>10794</v>
      </c>
      <c r="AS18" s="10">
        <v>9461</v>
      </c>
      <c r="AT18" s="10">
        <v>7814</v>
      </c>
      <c r="AU18" s="10">
        <v>5911</v>
      </c>
      <c r="AV18" s="10">
        <v>4574</v>
      </c>
      <c r="AW18" s="10">
        <v>3824</v>
      </c>
      <c r="AX18" s="10">
        <v>3423</v>
      </c>
      <c r="AY18" s="10">
        <v>2992</v>
      </c>
      <c r="AZ18" s="10">
        <v>2716</v>
      </c>
      <c r="BA18" s="10">
        <v>1762</v>
      </c>
      <c r="BB18" s="10">
        <v>1299</v>
      </c>
      <c r="BC18" s="10">
        <v>1118</v>
      </c>
      <c r="BD18" s="10">
        <v>1004</v>
      </c>
      <c r="BE18" s="10">
        <v>738</v>
      </c>
      <c r="BF18" s="10">
        <v>577</v>
      </c>
      <c r="BG18" s="10">
        <v>399</v>
      </c>
      <c r="BH18" s="10">
        <v>372</v>
      </c>
    </row>
    <row r="19" spans="1:60" ht="13.2" x14ac:dyDescent="0.25">
      <c r="A19" s="2" t="s">
        <v>3</v>
      </c>
      <c r="B19" s="2" t="s">
        <v>291</v>
      </c>
      <c r="C19" s="2" t="s">
        <v>96</v>
      </c>
      <c r="D19" s="2" t="s">
        <v>290</v>
      </c>
      <c r="E19" s="2" t="s">
        <v>101</v>
      </c>
      <c r="F19" s="2">
        <v>2020</v>
      </c>
      <c r="G19" s="10">
        <v>225839</v>
      </c>
      <c r="H19" s="10">
        <v>32526</v>
      </c>
      <c r="I19" s="10">
        <v>29017</v>
      </c>
      <c r="J19" s="10">
        <v>29305</v>
      </c>
      <c r="K19" s="10">
        <v>29619</v>
      </c>
      <c r="L19" s="10">
        <v>23330</v>
      </c>
      <c r="M19" s="10">
        <v>17510</v>
      </c>
      <c r="N19" s="10">
        <v>14783</v>
      </c>
      <c r="O19" s="10">
        <v>12677</v>
      </c>
      <c r="P19" s="10">
        <v>10932</v>
      </c>
      <c r="Q19" s="10">
        <v>7861</v>
      </c>
      <c r="R19" s="10">
        <v>6157</v>
      </c>
      <c r="S19" s="10">
        <v>4537</v>
      </c>
      <c r="T19" s="10">
        <v>3037</v>
      </c>
      <c r="U19" s="10">
        <v>1794</v>
      </c>
      <c r="V19" s="10">
        <v>1328</v>
      </c>
      <c r="W19" s="10">
        <v>787</v>
      </c>
      <c r="X19" s="10">
        <v>639</v>
      </c>
      <c r="Y19" s="10">
        <v>111907</v>
      </c>
      <c r="Z19" s="10">
        <v>16454</v>
      </c>
      <c r="AA19" s="10">
        <v>14358</v>
      </c>
      <c r="AB19" s="10">
        <v>14233</v>
      </c>
      <c r="AC19" s="10">
        <v>14504</v>
      </c>
      <c r="AD19" s="10">
        <v>11931</v>
      </c>
      <c r="AE19" s="10">
        <v>8435</v>
      </c>
      <c r="AF19" s="10">
        <v>7181</v>
      </c>
      <c r="AG19" s="10">
        <v>6461</v>
      </c>
      <c r="AH19" s="10">
        <v>5580</v>
      </c>
      <c r="AI19" s="10">
        <v>3899</v>
      </c>
      <c r="AJ19" s="10">
        <v>3096</v>
      </c>
      <c r="AK19" s="10">
        <v>2290</v>
      </c>
      <c r="AL19" s="10">
        <v>1522</v>
      </c>
      <c r="AM19" s="10">
        <v>906</v>
      </c>
      <c r="AN19" s="10">
        <v>576</v>
      </c>
      <c r="AO19" s="10">
        <v>276</v>
      </c>
      <c r="AP19" s="10">
        <v>205</v>
      </c>
      <c r="AQ19" s="10">
        <v>113932</v>
      </c>
      <c r="AR19" s="10">
        <v>16072</v>
      </c>
      <c r="AS19" s="10">
        <v>14659</v>
      </c>
      <c r="AT19" s="10">
        <v>15072</v>
      </c>
      <c r="AU19" s="10">
        <v>15115</v>
      </c>
      <c r="AV19" s="10">
        <v>11399</v>
      </c>
      <c r="AW19" s="10">
        <v>9075</v>
      </c>
      <c r="AX19" s="10">
        <v>7602</v>
      </c>
      <c r="AY19" s="10">
        <v>6216</v>
      </c>
      <c r="AZ19" s="10">
        <v>5352</v>
      </c>
      <c r="BA19" s="10">
        <v>3962</v>
      </c>
      <c r="BB19" s="10">
        <v>3061</v>
      </c>
      <c r="BC19" s="10">
        <v>2247</v>
      </c>
      <c r="BD19" s="10">
        <v>1515</v>
      </c>
      <c r="BE19" s="10">
        <v>888</v>
      </c>
      <c r="BF19" s="10">
        <v>752</v>
      </c>
      <c r="BG19" s="10">
        <v>511</v>
      </c>
      <c r="BH19" s="10">
        <v>434</v>
      </c>
    </row>
    <row r="20" spans="1:60" ht="13.2" x14ac:dyDescent="0.25">
      <c r="A20" s="2" t="s">
        <v>3</v>
      </c>
      <c r="B20" s="2" t="s">
        <v>291</v>
      </c>
      <c r="C20" s="2" t="s">
        <v>174</v>
      </c>
      <c r="D20" s="2" t="s">
        <v>387</v>
      </c>
      <c r="E20" s="2" t="s">
        <v>177</v>
      </c>
      <c r="F20" s="2">
        <v>2020</v>
      </c>
      <c r="G20" s="10">
        <v>344995</v>
      </c>
      <c r="H20" s="10">
        <v>55999</v>
      </c>
      <c r="I20" s="10">
        <v>48301</v>
      </c>
      <c r="J20" s="10">
        <v>44340</v>
      </c>
      <c r="K20" s="10">
        <v>39156</v>
      </c>
      <c r="L20" s="10">
        <v>33825</v>
      </c>
      <c r="M20" s="10">
        <v>27460</v>
      </c>
      <c r="N20" s="10">
        <v>23111</v>
      </c>
      <c r="O20" s="10">
        <v>19594</v>
      </c>
      <c r="P20" s="10">
        <v>15697</v>
      </c>
      <c r="Q20" s="10">
        <v>12016</v>
      </c>
      <c r="R20" s="10">
        <v>8628</v>
      </c>
      <c r="S20" s="10">
        <v>6161</v>
      </c>
      <c r="T20" s="10">
        <v>4255</v>
      </c>
      <c r="U20" s="10">
        <v>2533</v>
      </c>
      <c r="V20" s="10">
        <v>1832</v>
      </c>
      <c r="W20" s="10">
        <v>1175</v>
      </c>
      <c r="X20" s="10">
        <v>912</v>
      </c>
      <c r="Y20" s="10">
        <v>175383</v>
      </c>
      <c r="Z20" s="10">
        <v>28172</v>
      </c>
      <c r="AA20" s="10">
        <v>24059</v>
      </c>
      <c r="AB20" s="10">
        <v>21900</v>
      </c>
      <c r="AC20" s="10">
        <v>19545</v>
      </c>
      <c r="AD20" s="10">
        <v>17202</v>
      </c>
      <c r="AE20" s="10">
        <v>14336</v>
      </c>
      <c r="AF20" s="10">
        <v>11991</v>
      </c>
      <c r="AG20" s="10">
        <v>10195</v>
      </c>
      <c r="AH20" s="10">
        <v>8442</v>
      </c>
      <c r="AI20" s="10">
        <v>6373</v>
      </c>
      <c r="AJ20" s="10">
        <v>4780</v>
      </c>
      <c r="AK20" s="10">
        <v>3214</v>
      </c>
      <c r="AL20" s="10">
        <v>2219</v>
      </c>
      <c r="AM20" s="10">
        <v>1355</v>
      </c>
      <c r="AN20" s="10">
        <v>841</v>
      </c>
      <c r="AO20" s="10">
        <v>466</v>
      </c>
      <c r="AP20" s="10">
        <v>293</v>
      </c>
      <c r="AQ20" s="10">
        <v>169612</v>
      </c>
      <c r="AR20" s="10">
        <v>27827</v>
      </c>
      <c r="AS20" s="10">
        <v>24242</v>
      </c>
      <c r="AT20" s="10">
        <v>22440</v>
      </c>
      <c r="AU20" s="10">
        <v>19611</v>
      </c>
      <c r="AV20" s="10">
        <v>16623</v>
      </c>
      <c r="AW20" s="10">
        <v>13124</v>
      </c>
      <c r="AX20" s="10">
        <v>11120</v>
      </c>
      <c r="AY20" s="10">
        <v>9399</v>
      </c>
      <c r="AZ20" s="10">
        <v>7255</v>
      </c>
      <c r="BA20" s="10">
        <v>5643</v>
      </c>
      <c r="BB20" s="10">
        <v>3848</v>
      </c>
      <c r="BC20" s="10">
        <v>2947</v>
      </c>
      <c r="BD20" s="10">
        <v>2036</v>
      </c>
      <c r="BE20" s="10">
        <v>1178</v>
      </c>
      <c r="BF20" s="10">
        <v>991</v>
      </c>
      <c r="BG20" s="10">
        <v>709</v>
      </c>
      <c r="BH20" s="10">
        <v>619</v>
      </c>
    </row>
    <row r="21" spans="1:60" ht="13.2" x14ac:dyDescent="0.25">
      <c r="A21" s="2" t="s">
        <v>3</v>
      </c>
      <c r="B21" s="2" t="s">
        <v>291</v>
      </c>
      <c r="C21" s="2" t="s">
        <v>253</v>
      </c>
      <c r="D21" s="2" t="s">
        <v>498</v>
      </c>
      <c r="E21" s="2" t="s">
        <v>254</v>
      </c>
      <c r="F21" s="2">
        <v>2020</v>
      </c>
      <c r="G21" s="10">
        <v>142602</v>
      </c>
      <c r="H21" s="10">
        <v>27414</v>
      </c>
      <c r="I21" s="10">
        <v>22323</v>
      </c>
      <c r="J21" s="10">
        <v>17808</v>
      </c>
      <c r="K21" s="10">
        <v>14442</v>
      </c>
      <c r="L21" s="10">
        <v>12095</v>
      </c>
      <c r="M21" s="10">
        <v>9375</v>
      </c>
      <c r="N21" s="10">
        <v>7580</v>
      </c>
      <c r="O21" s="10">
        <v>6298</v>
      </c>
      <c r="P21" s="10">
        <v>5817</v>
      </c>
      <c r="Q21" s="10">
        <v>4583</v>
      </c>
      <c r="R21" s="10">
        <v>4123</v>
      </c>
      <c r="S21" s="10">
        <v>2755</v>
      </c>
      <c r="T21" s="10">
        <v>2631</v>
      </c>
      <c r="U21" s="10">
        <v>1716</v>
      </c>
      <c r="V21" s="10">
        <v>1559</v>
      </c>
      <c r="W21" s="10">
        <v>994</v>
      </c>
      <c r="X21" s="10">
        <v>1089</v>
      </c>
      <c r="Y21" s="10">
        <v>67060</v>
      </c>
      <c r="Z21" s="10">
        <v>13832</v>
      </c>
      <c r="AA21" s="10">
        <v>11182</v>
      </c>
      <c r="AB21" s="10">
        <v>9061</v>
      </c>
      <c r="AC21" s="10">
        <v>7180</v>
      </c>
      <c r="AD21" s="10">
        <v>5625</v>
      </c>
      <c r="AE21" s="10">
        <v>4237</v>
      </c>
      <c r="AF21" s="10">
        <v>3249</v>
      </c>
      <c r="AG21" s="10">
        <v>2626</v>
      </c>
      <c r="AH21" s="10">
        <v>2344</v>
      </c>
      <c r="AI21" s="10">
        <v>1872</v>
      </c>
      <c r="AJ21" s="10">
        <v>1725</v>
      </c>
      <c r="AK21" s="10">
        <v>1090</v>
      </c>
      <c r="AL21" s="10">
        <v>956</v>
      </c>
      <c r="AM21" s="10">
        <v>707</v>
      </c>
      <c r="AN21" s="10">
        <v>613</v>
      </c>
      <c r="AO21" s="10">
        <v>395</v>
      </c>
      <c r="AP21" s="10">
        <v>366</v>
      </c>
      <c r="AQ21" s="10">
        <v>75542</v>
      </c>
      <c r="AR21" s="10">
        <v>13582</v>
      </c>
      <c r="AS21" s="10">
        <v>11141</v>
      </c>
      <c r="AT21" s="10">
        <v>8747</v>
      </c>
      <c r="AU21" s="10">
        <v>7262</v>
      </c>
      <c r="AV21" s="10">
        <v>6470</v>
      </c>
      <c r="AW21" s="10">
        <v>5138</v>
      </c>
      <c r="AX21" s="10">
        <v>4331</v>
      </c>
      <c r="AY21" s="10">
        <v>3672</v>
      </c>
      <c r="AZ21" s="10">
        <v>3473</v>
      </c>
      <c r="BA21" s="10">
        <v>2711</v>
      </c>
      <c r="BB21" s="10">
        <v>2398</v>
      </c>
      <c r="BC21" s="10">
        <v>1665</v>
      </c>
      <c r="BD21" s="10">
        <v>1675</v>
      </c>
      <c r="BE21" s="10">
        <v>1009</v>
      </c>
      <c r="BF21" s="10">
        <v>946</v>
      </c>
      <c r="BG21" s="10">
        <v>599</v>
      </c>
      <c r="BH21" s="10">
        <v>723</v>
      </c>
    </row>
    <row r="22" spans="1:60" ht="13.2" x14ac:dyDescent="0.25">
      <c r="A22" s="2" t="s">
        <v>3</v>
      </c>
      <c r="B22" s="2" t="s">
        <v>291</v>
      </c>
      <c r="C22" s="2" t="s">
        <v>231</v>
      </c>
      <c r="D22" s="2" t="s">
        <v>470</v>
      </c>
      <c r="E22" s="2" t="s">
        <v>237</v>
      </c>
      <c r="F22" s="2">
        <v>2020</v>
      </c>
      <c r="G22" s="10">
        <v>395712</v>
      </c>
      <c r="H22" s="10">
        <v>84085</v>
      </c>
      <c r="I22" s="10">
        <v>67763</v>
      </c>
      <c r="J22" s="10">
        <v>53099</v>
      </c>
      <c r="K22" s="10">
        <v>43191</v>
      </c>
      <c r="L22" s="10">
        <v>34352</v>
      </c>
      <c r="M22" s="10">
        <v>25655</v>
      </c>
      <c r="N22" s="10">
        <v>21902</v>
      </c>
      <c r="O22" s="10">
        <v>16797</v>
      </c>
      <c r="P22" s="10">
        <v>14370</v>
      </c>
      <c r="Q22" s="10">
        <v>10563</v>
      </c>
      <c r="R22" s="10">
        <v>7652</v>
      </c>
      <c r="S22" s="10">
        <v>4662</v>
      </c>
      <c r="T22" s="10">
        <v>4031</v>
      </c>
      <c r="U22" s="10">
        <v>2842</v>
      </c>
      <c r="V22" s="10">
        <v>2355</v>
      </c>
      <c r="W22" s="10">
        <v>1353</v>
      </c>
      <c r="X22" s="10">
        <v>1040</v>
      </c>
      <c r="Y22" s="10">
        <v>194950</v>
      </c>
      <c r="Z22" s="10">
        <v>41993</v>
      </c>
      <c r="AA22" s="10">
        <v>34169</v>
      </c>
      <c r="AB22" s="10">
        <v>26827</v>
      </c>
      <c r="AC22" s="10">
        <v>22078</v>
      </c>
      <c r="AD22" s="10">
        <v>17606</v>
      </c>
      <c r="AE22" s="10">
        <v>12530</v>
      </c>
      <c r="AF22" s="10">
        <v>10343</v>
      </c>
      <c r="AG22" s="10">
        <v>7848</v>
      </c>
      <c r="AH22" s="10">
        <v>6381</v>
      </c>
      <c r="AI22" s="10">
        <v>5002</v>
      </c>
      <c r="AJ22" s="10">
        <v>3618</v>
      </c>
      <c r="AK22" s="10">
        <v>2070</v>
      </c>
      <c r="AL22" s="10">
        <v>1531</v>
      </c>
      <c r="AM22" s="10">
        <v>1227</v>
      </c>
      <c r="AN22" s="10">
        <v>883</v>
      </c>
      <c r="AO22" s="10">
        <v>505</v>
      </c>
      <c r="AP22" s="10">
        <v>339</v>
      </c>
      <c r="AQ22" s="10">
        <v>200762</v>
      </c>
      <c r="AR22" s="10">
        <v>42092</v>
      </c>
      <c r="AS22" s="10">
        <v>33594</v>
      </c>
      <c r="AT22" s="10">
        <v>26272</v>
      </c>
      <c r="AU22" s="10">
        <v>21113</v>
      </c>
      <c r="AV22" s="10">
        <v>16746</v>
      </c>
      <c r="AW22" s="10">
        <v>13125</v>
      </c>
      <c r="AX22" s="10">
        <v>11559</v>
      </c>
      <c r="AY22" s="10">
        <v>8949</v>
      </c>
      <c r="AZ22" s="10">
        <v>7989</v>
      </c>
      <c r="BA22" s="10">
        <v>5561</v>
      </c>
      <c r="BB22" s="10">
        <v>4034</v>
      </c>
      <c r="BC22" s="10">
        <v>2592</v>
      </c>
      <c r="BD22" s="10">
        <v>2500</v>
      </c>
      <c r="BE22" s="10">
        <v>1615</v>
      </c>
      <c r="BF22" s="10">
        <v>1472</v>
      </c>
      <c r="BG22" s="10">
        <v>848</v>
      </c>
      <c r="BH22" s="10">
        <v>701</v>
      </c>
    </row>
    <row r="23" spans="1:60" ht="13.2" x14ac:dyDescent="0.25">
      <c r="A23" s="2" t="s">
        <v>3</v>
      </c>
      <c r="B23" s="2" t="s">
        <v>291</v>
      </c>
      <c r="C23" s="2" t="s">
        <v>114</v>
      </c>
      <c r="D23" s="2" t="s">
        <v>313</v>
      </c>
      <c r="E23" s="2" t="s">
        <v>118</v>
      </c>
      <c r="F23" s="2">
        <v>2020</v>
      </c>
      <c r="G23" s="10">
        <v>129094</v>
      </c>
      <c r="H23" s="10">
        <v>19904</v>
      </c>
      <c r="I23" s="10">
        <v>17349</v>
      </c>
      <c r="J23" s="10">
        <v>16601</v>
      </c>
      <c r="K23" s="10">
        <v>15355</v>
      </c>
      <c r="L23" s="10">
        <v>12134</v>
      </c>
      <c r="M23" s="10">
        <v>10282</v>
      </c>
      <c r="N23" s="10">
        <v>8712</v>
      </c>
      <c r="O23" s="10">
        <v>6963</v>
      </c>
      <c r="P23" s="10">
        <v>5991</v>
      </c>
      <c r="Q23" s="10">
        <v>4690</v>
      </c>
      <c r="R23" s="10">
        <v>3608</v>
      </c>
      <c r="S23" s="10">
        <v>2910</v>
      </c>
      <c r="T23" s="10">
        <v>1913</v>
      </c>
      <c r="U23" s="10">
        <v>1156</v>
      </c>
      <c r="V23" s="10">
        <v>758</v>
      </c>
      <c r="W23" s="10">
        <v>422</v>
      </c>
      <c r="X23" s="10">
        <v>346</v>
      </c>
      <c r="Y23" s="10">
        <v>65381</v>
      </c>
      <c r="Z23" s="10">
        <v>9993</v>
      </c>
      <c r="AA23" s="10">
        <v>8582</v>
      </c>
      <c r="AB23" s="10">
        <v>8215</v>
      </c>
      <c r="AC23" s="10">
        <v>7521</v>
      </c>
      <c r="AD23" s="10">
        <v>6243</v>
      </c>
      <c r="AE23" s="10">
        <v>5326</v>
      </c>
      <c r="AF23" s="10">
        <v>4585</v>
      </c>
      <c r="AG23" s="10">
        <v>3574</v>
      </c>
      <c r="AH23" s="10">
        <v>3055</v>
      </c>
      <c r="AI23" s="10">
        <v>2478</v>
      </c>
      <c r="AJ23" s="10">
        <v>1888</v>
      </c>
      <c r="AK23" s="10">
        <v>1542</v>
      </c>
      <c r="AL23" s="10">
        <v>1043</v>
      </c>
      <c r="AM23" s="10">
        <v>617</v>
      </c>
      <c r="AN23" s="10">
        <v>385</v>
      </c>
      <c r="AO23" s="10">
        <v>209</v>
      </c>
      <c r="AP23" s="10">
        <v>125</v>
      </c>
      <c r="AQ23" s="10">
        <v>63713</v>
      </c>
      <c r="AR23" s="10">
        <v>9911</v>
      </c>
      <c r="AS23" s="10">
        <v>8767</v>
      </c>
      <c r="AT23" s="10">
        <v>8386</v>
      </c>
      <c r="AU23" s="10">
        <v>7834</v>
      </c>
      <c r="AV23" s="10">
        <v>5891</v>
      </c>
      <c r="AW23" s="10">
        <v>4956</v>
      </c>
      <c r="AX23" s="10">
        <v>4127</v>
      </c>
      <c r="AY23" s="10">
        <v>3389</v>
      </c>
      <c r="AZ23" s="10">
        <v>2936</v>
      </c>
      <c r="BA23" s="10">
        <v>2212</v>
      </c>
      <c r="BB23" s="10">
        <v>1720</v>
      </c>
      <c r="BC23" s="10">
        <v>1368</v>
      </c>
      <c r="BD23" s="10">
        <v>870</v>
      </c>
      <c r="BE23" s="10">
        <v>539</v>
      </c>
      <c r="BF23" s="10">
        <v>373</v>
      </c>
      <c r="BG23" s="10">
        <v>213</v>
      </c>
      <c r="BH23" s="10">
        <v>221</v>
      </c>
    </row>
    <row r="24" spans="1:60" ht="13.2" x14ac:dyDescent="0.25">
      <c r="A24" s="2" t="s">
        <v>3</v>
      </c>
      <c r="B24" s="2" t="s">
        <v>291</v>
      </c>
      <c r="C24" s="2" t="s">
        <v>253</v>
      </c>
      <c r="D24" s="2" t="s">
        <v>498</v>
      </c>
      <c r="E24" s="2" t="s">
        <v>257</v>
      </c>
      <c r="F24" s="2">
        <v>2020</v>
      </c>
      <c r="G24" s="10">
        <v>217497</v>
      </c>
      <c r="H24" s="10">
        <v>40590</v>
      </c>
      <c r="I24" s="10">
        <v>33866</v>
      </c>
      <c r="J24" s="10">
        <v>27918</v>
      </c>
      <c r="K24" s="10">
        <v>22582</v>
      </c>
      <c r="L24" s="10">
        <v>18068</v>
      </c>
      <c r="M24" s="10">
        <v>14937</v>
      </c>
      <c r="N24" s="10">
        <v>12199</v>
      </c>
      <c r="O24" s="10">
        <v>10493</v>
      </c>
      <c r="P24" s="10">
        <v>9194</v>
      </c>
      <c r="Q24" s="10">
        <v>6906</v>
      </c>
      <c r="R24" s="10">
        <v>5659</v>
      </c>
      <c r="S24" s="10">
        <v>4356</v>
      </c>
      <c r="T24" s="10">
        <v>3662</v>
      </c>
      <c r="U24" s="10">
        <v>2597</v>
      </c>
      <c r="V24" s="10">
        <v>2027</v>
      </c>
      <c r="W24" s="10">
        <v>1301</v>
      </c>
      <c r="X24" s="10">
        <v>1142</v>
      </c>
      <c r="Y24" s="10">
        <v>106520</v>
      </c>
      <c r="Z24" s="10">
        <v>20657</v>
      </c>
      <c r="AA24" s="10">
        <v>17146</v>
      </c>
      <c r="AB24" s="10">
        <v>14103</v>
      </c>
      <c r="AC24" s="10">
        <v>11381</v>
      </c>
      <c r="AD24" s="10">
        <v>8864</v>
      </c>
      <c r="AE24" s="10">
        <v>7034</v>
      </c>
      <c r="AF24" s="10">
        <v>5695</v>
      </c>
      <c r="AG24" s="10">
        <v>4869</v>
      </c>
      <c r="AH24" s="10">
        <v>4217</v>
      </c>
      <c r="AI24" s="10">
        <v>3272</v>
      </c>
      <c r="AJ24" s="10">
        <v>2577</v>
      </c>
      <c r="AK24" s="10">
        <v>1855</v>
      </c>
      <c r="AL24" s="10">
        <v>1520</v>
      </c>
      <c r="AM24" s="10">
        <v>1239</v>
      </c>
      <c r="AN24" s="10">
        <v>975</v>
      </c>
      <c r="AO24" s="10">
        <v>606</v>
      </c>
      <c r="AP24" s="10">
        <v>510</v>
      </c>
      <c r="AQ24" s="10">
        <v>110977</v>
      </c>
      <c r="AR24" s="10">
        <v>19933</v>
      </c>
      <c r="AS24" s="10">
        <v>16720</v>
      </c>
      <c r="AT24" s="10">
        <v>13815</v>
      </c>
      <c r="AU24" s="10">
        <v>11201</v>
      </c>
      <c r="AV24" s="10">
        <v>9204</v>
      </c>
      <c r="AW24" s="10">
        <v>7903</v>
      </c>
      <c r="AX24" s="10">
        <v>6504</v>
      </c>
      <c r="AY24" s="10">
        <v>5624</v>
      </c>
      <c r="AZ24" s="10">
        <v>4977</v>
      </c>
      <c r="BA24" s="10">
        <v>3634</v>
      </c>
      <c r="BB24" s="10">
        <v>3082</v>
      </c>
      <c r="BC24" s="10">
        <v>2501</v>
      </c>
      <c r="BD24" s="10">
        <v>2142</v>
      </c>
      <c r="BE24" s="10">
        <v>1358</v>
      </c>
      <c r="BF24" s="10">
        <v>1052</v>
      </c>
      <c r="BG24" s="10">
        <v>695</v>
      </c>
      <c r="BH24" s="10">
        <v>632</v>
      </c>
    </row>
    <row r="25" spans="1:60" ht="13.2" x14ac:dyDescent="0.25">
      <c r="A25" s="2" t="s">
        <v>3</v>
      </c>
      <c r="B25" s="2" t="s">
        <v>291</v>
      </c>
      <c r="C25" s="2" t="s">
        <v>96</v>
      </c>
      <c r="D25" s="2" t="s">
        <v>290</v>
      </c>
      <c r="E25" s="2" t="s">
        <v>104</v>
      </c>
      <c r="F25" s="2">
        <v>2020</v>
      </c>
      <c r="G25" s="10">
        <v>321324</v>
      </c>
      <c r="H25" s="10">
        <v>58105</v>
      </c>
      <c r="I25" s="10">
        <v>50453</v>
      </c>
      <c r="J25" s="10">
        <v>43312</v>
      </c>
      <c r="K25" s="10">
        <v>34603</v>
      </c>
      <c r="L25" s="10">
        <v>28030</v>
      </c>
      <c r="M25" s="10">
        <v>21976</v>
      </c>
      <c r="N25" s="10">
        <v>18304</v>
      </c>
      <c r="O25" s="10">
        <v>15945</v>
      </c>
      <c r="P25" s="10">
        <v>13744</v>
      </c>
      <c r="Q25" s="10">
        <v>10170</v>
      </c>
      <c r="R25" s="10">
        <v>7466</v>
      </c>
      <c r="S25" s="10">
        <v>5901</v>
      </c>
      <c r="T25" s="10">
        <v>4868</v>
      </c>
      <c r="U25" s="10">
        <v>3291</v>
      </c>
      <c r="V25" s="10">
        <v>2478</v>
      </c>
      <c r="W25" s="10">
        <v>1601</v>
      </c>
      <c r="X25" s="10">
        <v>1077</v>
      </c>
      <c r="Y25" s="10">
        <v>161576</v>
      </c>
      <c r="Z25" s="10">
        <v>29271</v>
      </c>
      <c r="AA25" s="10">
        <v>25434</v>
      </c>
      <c r="AB25" s="10">
        <v>22024</v>
      </c>
      <c r="AC25" s="10">
        <v>17690</v>
      </c>
      <c r="AD25" s="10">
        <v>14273</v>
      </c>
      <c r="AE25" s="10">
        <v>10990</v>
      </c>
      <c r="AF25" s="10">
        <v>8966</v>
      </c>
      <c r="AG25" s="10">
        <v>7964</v>
      </c>
      <c r="AH25" s="10">
        <v>6962</v>
      </c>
      <c r="AI25" s="10">
        <v>5171</v>
      </c>
      <c r="AJ25" s="10">
        <v>3709</v>
      </c>
      <c r="AK25" s="10">
        <v>2807</v>
      </c>
      <c r="AL25" s="10">
        <v>2277</v>
      </c>
      <c r="AM25" s="10">
        <v>1584</v>
      </c>
      <c r="AN25" s="10">
        <v>1242</v>
      </c>
      <c r="AO25" s="10">
        <v>727</v>
      </c>
      <c r="AP25" s="10">
        <v>485</v>
      </c>
      <c r="AQ25" s="10">
        <v>159748</v>
      </c>
      <c r="AR25" s="10">
        <v>28834</v>
      </c>
      <c r="AS25" s="10">
        <v>25019</v>
      </c>
      <c r="AT25" s="10">
        <v>21288</v>
      </c>
      <c r="AU25" s="10">
        <v>16913</v>
      </c>
      <c r="AV25" s="10">
        <v>13757</v>
      </c>
      <c r="AW25" s="10">
        <v>10986</v>
      </c>
      <c r="AX25" s="10">
        <v>9338</v>
      </c>
      <c r="AY25" s="10">
        <v>7981</v>
      </c>
      <c r="AZ25" s="10">
        <v>6782</v>
      </c>
      <c r="BA25" s="10">
        <v>4999</v>
      </c>
      <c r="BB25" s="10">
        <v>3757</v>
      </c>
      <c r="BC25" s="10">
        <v>3094</v>
      </c>
      <c r="BD25" s="10">
        <v>2591</v>
      </c>
      <c r="BE25" s="10">
        <v>1707</v>
      </c>
      <c r="BF25" s="10">
        <v>1236</v>
      </c>
      <c r="BG25" s="10">
        <v>874</v>
      </c>
      <c r="BH25" s="10">
        <v>592</v>
      </c>
    </row>
    <row r="26" spans="1:60" ht="13.2" x14ac:dyDescent="0.25">
      <c r="A26" s="2" t="s">
        <v>3</v>
      </c>
      <c r="B26" s="2" t="s">
        <v>291</v>
      </c>
      <c r="C26" s="2" t="s">
        <v>199</v>
      </c>
      <c r="D26" s="2" t="s">
        <v>446</v>
      </c>
      <c r="E26" s="2" t="s">
        <v>201</v>
      </c>
      <c r="F26" s="2">
        <v>2020</v>
      </c>
      <c r="G26" s="10">
        <v>162622</v>
      </c>
      <c r="H26" s="10">
        <v>35266</v>
      </c>
      <c r="I26" s="10">
        <v>27029</v>
      </c>
      <c r="J26" s="10">
        <v>19896</v>
      </c>
      <c r="K26" s="10">
        <v>14301</v>
      </c>
      <c r="L26" s="10">
        <v>12919</v>
      </c>
      <c r="M26" s="10">
        <v>12857</v>
      </c>
      <c r="N26" s="10">
        <v>9312</v>
      </c>
      <c r="O26" s="10">
        <v>7923</v>
      </c>
      <c r="P26" s="10">
        <v>6644</v>
      </c>
      <c r="Q26" s="10">
        <v>4958</v>
      </c>
      <c r="R26" s="10">
        <v>3861</v>
      </c>
      <c r="S26" s="10">
        <v>2950</v>
      </c>
      <c r="T26" s="10">
        <v>2072</v>
      </c>
      <c r="U26" s="10">
        <v>1189</v>
      </c>
      <c r="V26" s="10">
        <v>755</v>
      </c>
      <c r="W26" s="10">
        <v>416</v>
      </c>
      <c r="X26" s="10">
        <v>274</v>
      </c>
      <c r="Y26" s="10">
        <v>81784</v>
      </c>
      <c r="Z26" s="10">
        <v>17759</v>
      </c>
      <c r="AA26" s="10">
        <v>13543</v>
      </c>
      <c r="AB26" s="10">
        <v>10177</v>
      </c>
      <c r="AC26" s="10">
        <v>7149</v>
      </c>
      <c r="AD26" s="10">
        <v>5995</v>
      </c>
      <c r="AE26" s="10">
        <v>6237</v>
      </c>
      <c r="AF26" s="10">
        <v>4814</v>
      </c>
      <c r="AG26" s="10">
        <v>4142</v>
      </c>
      <c r="AH26" s="10">
        <v>3343</v>
      </c>
      <c r="AI26" s="10">
        <v>2638</v>
      </c>
      <c r="AJ26" s="10">
        <v>2086</v>
      </c>
      <c r="AK26" s="10">
        <v>1501</v>
      </c>
      <c r="AL26" s="10">
        <v>1022</v>
      </c>
      <c r="AM26" s="10">
        <v>633</v>
      </c>
      <c r="AN26" s="10">
        <v>397</v>
      </c>
      <c r="AO26" s="10">
        <v>222</v>
      </c>
      <c r="AP26" s="10">
        <v>126</v>
      </c>
      <c r="AQ26" s="10">
        <v>80838</v>
      </c>
      <c r="AR26" s="10">
        <v>17507</v>
      </c>
      <c r="AS26" s="10">
        <v>13486</v>
      </c>
      <c r="AT26" s="10">
        <v>9719</v>
      </c>
      <c r="AU26" s="10">
        <v>7152</v>
      </c>
      <c r="AV26" s="10">
        <v>6924</v>
      </c>
      <c r="AW26" s="10">
        <v>6620</v>
      </c>
      <c r="AX26" s="10">
        <v>4498</v>
      </c>
      <c r="AY26" s="10">
        <v>3781</v>
      </c>
      <c r="AZ26" s="10">
        <v>3301</v>
      </c>
      <c r="BA26" s="10">
        <v>2320</v>
      </c>
      <c r="BB26" s="10">
        <v>1775</v>
      </c>
      <c r="BC26" s="10">
        <v>1449</v>
      </c>
      <c r="BD26" s="10">
        <v>1050</v>
      </c>
      <c r="BE26" s="10">
        <v>556</v>
      </c>
      <c r="BF26" s="10">
        <v>358</v>
      </c>
      <c r="BG26" s="10">
        <v>194</v>
      </c>
      <c r="BH26" s="10">
        <v>148</v>
      </c>
    </row>
    <row r="27" spans="1:60" ht="13.2" x14ac:dyDescent="0.25">
      <c r="A27" s="2" t="s">
        <v>3</v>
      </c>
      <c r="B27" s="2" t="s">
        <v>291</v>
      </c>
      <c r="C27" s="2" t="s">
        <v>199</v>
      </c>
      <c r="D27" s="2" t="s">
        <v>446</v>
      </c>
      <c r="E27" s="2" t="s">
        <v>203</v>
      </c>
      <c r="F27" s="2">
        <v>2020</v>
      </c>
      <c r="G27" s="10">
        <v>342515</v>
      </c>
      <c r="H27" s="10">
        <v>60080</v>
      </c>
      <c r="I27" s="10">
        <v>53525</v>
      </c>
      <c r="J27" s="10">
        <v>46041</v>
      </c>
      <c r="K27" s="10">
        <v>38384</v>
      </c>
      <c r="L27" s="10">
        <v>30551</v>
      </c>
      <c r="M27" s="10">
        <v>24358</v>
      </c>
      <c r="N27" s="10">
        <v>19438</v>
      </c>
      <c r="O27" s="10">
        <v>17424</v>
      </c>
      <c r="P27" s="10">
        <v>13932</v>
      </c>
      <c r="Q27" s="10">
        <v>11170</v>
      </c>
      <c r="R27" s="10">
        <v>7956</v>
      </c>
      <c r="S27" s="10">
        <v>6104</v>
      </c>
      <c r="T27" s="10">
        <v>4881</v>
      </c>
      <c r="U27" s="10">
        <v>3380</v>
      </c>
      <c r="V27" s="10">
        <v>2500</v>
      </c>
      <c r="W27" s="10">
        <v>1602</v>
      </c>
      <c r="X27" s="10">
        <v>1189</v>
      </c>
      <c r="Y27" s="10">
        <v>170593</v>
      </c>
      <c r="Z27" s="10">
        <v>30310</v>
      </c>
      <c r="AA27" s="10">
        <v>26521</v>
      </c>
      <c r="AB27" s="10">
        <v>22964</v>
      </c>
      <c r="AC27" s="10">
        <v>19531</v>
      </c>
      <c r="AD27" s="10">
        <v>15230</v>
      </c>
      <c r="AE27" s="10">
        <v>11932</v>
      </c>
      <c r="AF27" s="10">
        <v>9539</v>
      </c>
      <c r="AG27" s="10">
        <v>8701</v>
      </c>
      <c r="AH27" s="10">
        <v>7160</v>
      </c>
      <c r="AI27" s="10">
        <v>5528</v>
      </c>
      <c r="AJ27" s="10">
        <v>4162</v>
      </c>
      <c r="AK27" s="10">
        <v>2877</v>
      </c>
      <c r="AL27" s="10">
        <v>2190</v>
      </c>
      <c r="AM27" s="10">
        <v>1594</v>
      </c>
      <c r="AN27" s="10">
        <v>1184</v>
      </c>
      <c r="AO27" s="10">
        <v>727</v>
      </c>
      <c r="AP27" s="10">
        <v>443</v>
      </c>
      <c r="AQ27" s="10">
        <v>171922</v>
      </c>
      <c r="AR27" s="10">
        <v>29770</v>
      </c>
      <c r="AS27" s="10">
        <v>27004</v>
      </c>
      <c r="AT27" s="10">
        <v>23077</v>
      </c>
      <c r="AU27" s="10">
        <v>18853</v>
      </c>
      <c r="AV27" s="10">
        <v>15321</v>
      </c>
      <c r="AW27" s="10">
        <v>12426</v>
      </c>
      <c r="AX27" s="10">
        <v>9899</v>
      </c>
      <c r="AY27" s="10">
        <v>8723</v>
      </c>
      <c r="AZ27" s="10">
        <v>6772</v>
      </c>
      <c r="BA27" s="10">
        <v>5642</v>
      </c>
      <c r="BB27" s="10">
        <v>3794</v>
      </c>
      <c r="BC27" s="10">
        <v>3227</v>
      </c>
      <c r="BD27" s="10">
        <v>2691</v>
      </c>
      <c r="BE27" s="10">
        <v>1786</v>
      </c>
      <c r="BF27" s="10">
        <v>1316</v>
      </c>
      <c r="BG27" s="10">
        <v>875</v>
      </c>
      <c r="BH27" s="10">
        <v>746</v>
      </c>
    </row>
    <row r="28" spans="1:60" ht="13.2" x14ac:dyDescent="0.25">
      <c r="A28" s="2" t="s">
        <v>3</v>
      </c>
      <c r="B28" s="2" t="s">
        <v>291</v>
      </c>
      <c r="C28" s="2" t="s">
        <v>215</v>
      </c>
      <c r="D28" s="2" t="s">
        <v>422</v>
      </c>
      <c r="E28" s="2" t="s">
        <v>221</v>
      </c>
      <c r="F28" s="2">
        <v>2020</v>
      </c>
      <c r="G28" s="10">
        <v>90632</v>
      </c>
      <c r="H28" s="10">
        <v>18002</v>
      </c>
      <c r="I28" s="10">
        <v>14990</v>
      </c>
      <c r="J28" s="10">
        <v>12342</v>
      </c>
      <c r="K28" s="10">
        <v>9928</v>
      </c>
      <c r="L28" s="10">
        <v>7118</v>
      </c>
      <c r="M28" s="10">
        <v>5654</v>
      </c>
      <c r="N28" s="10">
        <v>4686</v>
      </c>
      <c r="O28" s="10">
        <v>4219</v>
      </c>
      <c r="P28" s="10">
        <v>3740</v>
      </c>
      <c r="Q28" s="10">
        <v>2797</v>
      </c>
      <c r="R28" s="10">
        <v>2054</v>
      </c>
      <c r="S28" s="10">
        <v>1571</v>
      </c>
      <c r="T28" s="10">
        <v>1305</v>
      </c>
      <c r="U28" s="10">
        <v>811</v>
      </c>
      <c r="V28" s="10">
        <v>724</v>
      </c>
      <c r="W28" s="10">
        <v>448</v>
      </c>
      <c r="X28" s="10">
        <v>243</v>
      </c>
      <c r="Y28" s="10">
        <v>45245</v>
      </c>
      <c r="Z28" s="10">
        <v>9115</v>
      </c>
      <c r="AA28" s="10">
        <v>7608</v>
      </c>
      <c r="AB28" s="10">
        <v>6476</v>
      </c>
      <c r="AC28" s="10">
        <v>4991</v>
      </c>
      <c r="AD28" s="10">
        <v>3621</v>
      </c>
      <c r="AE28" s="10">
        <v>2677</v>
      </c>
      <c r="AF28" s="10">
        <v>2245</v>
      </c>
      <c r="AG28" s="10">
        <v>2016</v>
      </c>
      <c r="AH28" s="10">
        <v>1791</v>
      </c>
      <c r="AI28" s="10">
        <v>1401</v>
      </c>
      <c r="AJ28" s="10">
        <v>1018</v>
      </c>
      <c r="AK28" s="10">
        <v>702</v>
      </c>
      <c r="AL28" s="10">
        <v>567</v>
      </c>
      <c r="AM28" s="10">
        <v>383</v>
      </c>
      <c r="AN28" s="10">
        <v>319</v>
      </c>
      <c r="AO28" s="10">
        <v>219</v>
      </c>
      <c r="AP28" s="10">
        <v>96</v>
      </c>
      <c r="AQ28" s="10">
        <v>45387</v>
      </c>
      <c r="AR28" s="10">
        <v>8887</v>
      </c>
      <c r="AS28" s="10">
        <v>7382</v>
      </c>
      <c r="AT28" s="10">
        <v>5866</v>
      </c>
      <c r="AU28" s="10">
        <v>4937</v>
      </c>
      <c r="AV28" s="10">
        <v>3497</v>
      </c>
      <c r="AW28" s="10">
        <v>2977</v>
      </c>
      <c r="AX28" s="10">
        <v>2441</v>
      </c>
      <c r="AY28" s="10">
        <v>2203</v>
      </c>
      <c r="AZ28" s="10">
        <v>1949</v>
      </c>
      <c r="BA28" s="10">
        <v>1396</v>
      </c>
      <c r="BB28" s="10">
        <v>1036</v>
      </c>
      <c r="BC28" s="10">
        <v>869</v>
      </c>
      <c r="BD28" s="10">
        <v>738</v>
      </c>
      <c r="BE28" s="10">
        <v>428</v>
      </c>
      <c r="BF28" s="10">
        <v>405</v>
      </c>
      <c r="BG28" s="10">
        <v>229</v>
      </c>
      <c r="BH28" s="10">
        <v>147</v>
      </c>
    </row>
    <row r="29" spans="1:60" ht="13.2" x14ac:dyDescent="0.25">
      <c r="A29" s="2" t="s">
        <v>3</v>
      </c>
      <c r="B29" s="2" t="s">
        <v>291</v>
      </c>
      <c r="C29" s="2" t="s">
        <v>138</v>
      </c>
      <c r="D29" s="2" t="s">
        <v>335</v>
      </c>
      <c r="E29" s="2" t="s">
        <v>145</v>
      </c>
      <c r="F29" s="2">
        <v>2020</v>
      </c>
      <c r="G29" s="10">
        <v>305516</v>
      </c>
      <c r="H29" s="10">
        <v>57715</v>
      </c>
      <c r="I29" s="10">
        <v>49811</v>
      </c>
      <c r="J29" s="10">
        <v>40687</v>
      </c>
      <c r="K29" s="10">
        <v>31493</v>
      </c>
      <c r="L29" s="10">
        <v>25808</v>
      </c>
      <c r="M29" s="10">
        <v>21084</v>
      </c>
      <c r="N29" s="10">
        <v>17120</v>
      </c>
      <c r="O29" s="10">
        <v>14733</v>
      </c>
      <c r="P29" s="10">
        <v>12041</v>
      </c>
      <c r="Q29" s="10">
        <v>9593</v>
      </c>
      <c r="R29" s="10">
        <v>6133</v>
      </c>
      <c r="S29" s="10">
        <v>5212</v>
      </c>
      <c r="T29" s="10">
        <v>5150</v>
      </c>
      <c r="U29" s="10">
        <v>3367</v>
      </c>
      <c r="V29" s="10">
        <v>2571</v>
      </c>
      <c r="W29" s="10">
        <v>1648</v>
      </c>
      <c r="X29" s="10">
        <v>1350</v>
      </c>
      <c r="Y29" s="10">
        <v>152089</v>
      </c>
      <c r="Z29" s="10">
        <v>28905</v>
      </c>
      <c r="AA29" s="10">
        <v>25034</v>
      </c>
      <c r="AB29" s="10">
        <v>20956</v>
      </c>
      <c r="AC29" s="10">
        <v>16201</v>
      </c>
      <c r="AD29" s="10">
        <v>13174</v>
      </c>
      <c r="AE29" s="10">
        <v>10494</v>
      </c>
      <c r="AF29" s="10">
        <v>8652</v>
      </c>
      <c r="AG29" s="10">
        <v>7175</v>
      </c>
      <c r="AH29" s="10">
        <v>5878</v>
      </c>
      <c r="AI29" s="10">
        <v>4877</v>
      </c>
      <c r="AJ29" s="10">
        <v>3048</v>
      </c>
      <c r="AK29" s="10">
        <v>2372</v>
      </c>
      <c r="AL29" s="10">
        <v>1936</v>
      </c>
      <c r="AM29" s="10">
        <v>1387</v>
      </c>
      <c r="AN29" s="10">
        <v>925</v>
      </c>
      <c r="AO29" s="10">
        <v>633</v>
      </c>
      <c r="AP29" s="10">
        <v>442</v>
      </c>
      <c r="AQ29" s="10">
        <v>153427</v>
      </c>
      <c r="AR29" s="10">
        <v>28810</v>
      </c>
      <c r="AS29" s="10">
        <v>24777</v>
      </c>
      <c r="AT29" s="10">
        <v>19731</v>
      </c>
      <c r="AU29" s="10">
        <v>15292</v>
      </c>
      <c r="AV29" s="10">
        <v>12634</v>
      </c>
      <c r="AW29" s="10">
        <v>10590</v>
      </c>
      <c r="AX29" s="10">
        <v>8468</v>
      </c>
      <c r="AY29" s="10">
        <v>7558</v>
      </c>
      <c r="AZ29" s="10">
        <v>6163</v>
      </c>
      <c r="BA29" s="10">
        <v>4716</v>
      </c>
      <c r="BB29" s="10">
        <v>3085</v>
      </c>
      <c r="BC29" s="10">
        <v>2840</v>
      </c>
      <c r="BD29" s="10">
        <v>3214</v>
      </c>
      <c r="BE29" s="10">
        <v>1980</v>
      </c>
      <c r="BF29" s="10">
        <v>1646</v>
      </c>
      <c r="BG29" s="10">
        <v>1015</v>
      </c>
      <c r="BH29" s="10">
        <v>908</v>
      </c>
    </row>
    <row r="30" spans="1:60" ht="13.2" x14ac:dyDescent="0.25">
      <c r="A30" s="2" t="s">
        <v>3</v>
      </c>
      <c r="B30" s="2" t="s">
        <v>291</v>
      </c>
      <c r="C30" s="2" t="s">
        <v>158</v>
      </c>
      <c r="D30" s="2" t="s">
        <v>363</v>
      </c>
      <c r="E30" s="2" t="s">
        <v>160</v>
      </c>
      <c r="F30" s="2">
        <v>2020</v>
      </c>
      <c r="G30" s="10">
        <v>171303</v>
      </c>
      <c r="H30" s="10">
        <v>31953</v>
      </c>
      <c r="I30" s="10">
        <v>28283</v>
      </c>
      <c r="J30" s="10">
        <v>23630</v>
      </c>
      <c r="K30" s="10">
        <v>18462</v>
      </c>
      <c r="L30" s="10">
        <v>13697</v>
      </c>
      <c r="M30" s="10">
        <v>10765</v>
      </c>
      <c r="N30" s="10">
        <v>9228</v>
      </c>
      <c r="O30" s="10">
        <v>7922</v>
      </c>
      <c r="P30" s="10">
        <v>7162</v>
      </c>
      <c r="Q30" s="10">
        <v>5516</v>
      </c>
      <c r="R30" s="10">
        <v>4264</v>
      </c>
      <c r="S30" s="10">
        <v>3126</v>
      </c>
      <c r="T30" s="10">
        <v>2587</v>
      </c>
      <c r="U30" s="10">
        <v>1760</v>
      </c>
      <c r="V30" s="10">
        <v>1432</v>
      </c>
      <c r="W30" s="10">
        <v>843</v>
      </c>
      <c r="X30" s="10">
        <v>673</v>
      </c>
      <c r="Y30" s="10">
        <v>85184</v>
      </c>
      <c r="Z30" s="10">
        <v>15924</v>
      </c>
      <c r="AA30" s="10">
        <v>14313</v>
      </c>
      <c r="AB30" s="10">
        <v>12202</v>
      </c>
      <c r="AC30" s="10">
        <v>9440</v>
      </c>
      <c r="AD30" s="10">
        <v>6532</v>
      </c>
      <c r="AE30" s="10">
        <v>5129</v>
      </c>
      <c r="AF30" s="10">
        <v>4503</v>
      </c>
      <c r="AG30" s="10">
        <v>3876</v>
      </c>
      <c r="AH30" s="10">
        <v>3546</v>
      </c>
      <c r="AI30" s="10">
        <v>2782</v>
      </c>
      <c r="AJ30" s="10">
        <v>2216</v>
      </c>
      <c r="AK30" s="10">
        <v>1417</v>
      </c>
      <c r="AL30" s="10">
        <v>1110</v>
      </c>
      <c r="AM30" s="10">
        <v>830</v>
      </c>
      <c r="AN30" s="10">
        <v>679</v>
      </c>
      <c r="AO30" s="10">
        <v>414</v>
      </c>
      <c r="AP30" s="10">
        <v>271</v>
      </c>
      <c r="AQ30" s="10">
        <v>86119</v>
      </c>
      <c r="AR30" s="10">
        <v>16029</v>
      </c>
      <c r="AS30" s="10">
        <v>13970</v>
      </c>
      <c r="AT30" s="10">
        <v>11428</v>
      </c>
      <c r="AU30" s="10">
        <v>9022</v>
      </c>
      <c r="AV30" s="10">
        <v>7165</v>
      </c>
      <c r="AW30" s="10">
        <v>5636</v>
      </c>
      <c r="AX30" s="10">
        <v>4725</v>
      </c>
      <c r="AY30" s="10">
        <v>4046</v>
      </c>
      <c r="AZ30" s="10">
        <v>3616</v>
      </c>
      <c r="BA30" s="10">
        <v>2734</v>
      </c>
      <c r="BB30" s="10">
        <v>2048</v>
      </c>
      <c r="BC30" s="10">
        <v>1709</v>
      </c>
      <c r="BD30" s="10">
        <v>1477</v>
      </c>
      <c r="BE30" s="10">
        <v>930</v>
      </c>
      <c r="BF30" s="10">
        <v>753</v>
      </c>
      <c r="BG30" s="10">
        <v>429</v>
      </c>
      <c r="BH30" s="10">
        <v>402</v>
      </c>
    </row>
    <row r="31" spans="1:60" ht="13.2" x14ac:dyDescent="0.25">
      <c r="A31" s="2" t="s">
        <v>3</v>
      </c>
      <c r="B31" s="2" t="s">
        <v>291</v>
      </c>
      <c r="C31" s="2" t="s">
        <v>231</v>
      </c>
      <c r="D31" s="2" t="s">
        <v>470</v>
      </c>
      <c r="E31" s="2" t="s">
        <v>241</v>
      </c>
      <c r="F31" s="2">
        <v>2020</v>
      </c>
      <c r="G31" s="10">
        <v>155408</v>
      </c>
      <c r="H31" s="10">
        <v>30710</v>
      </c>
      <c r="I31" s="10">
        <v>26150</v>
      </c>
      <c r="J31" s="10">
        <v>20862</v>
      </c>
      <c r="K31" s="10">
        <v>15682</v>
      </c>
      <c r="L31" s="10">
        <v>12388</v>
      </c>
      <c r="M31" s="10">
        <v>10493</v>
      </c>
      <c r="N31" s="10">
        <v>8769</v>
      </c>
      <c r="O31" s="10">
        <v>7373</v>
      </c>
      <c r="P31" s="10">
        <v>6073</v>
      </c>
      <c r="Q31" s="10">
        <v>4561</v>
      </c>
      <c r="R31" s="10">
        <v>3290</v>
      </c>
      <c r="S31" s="10">
        <v>2377</v>
      </c>
      <c r="T31" s="10">
        <v>2132</v>
      </c>
      <c r="U31" s="10">
        <v>1705</v>
      </c>
      <c r="V31" s="10">
        <v>1314</v>
      </c>
      <c r="W31" s="10">
        <v>842</v>
      </c>
      <c r="X31" s="10">
        <v>687</v>
      </c>
      <c r="Y31" s="10">
        <v>78008</v>
      </c>
      <c r="Z31" s="10">
        <v>15576</v>
      </c>
      <c r="AA31" s="10">
        <v>13262</v>
      </c>
      <c r="AB31" s="10">
        <v>10865</v>
      </c>
      <c r="AC31" s="10">
        <v>8135</v>
      </c>
      <c r="AD31" s="10">
        <v>6249</v>
      </c>
      <c r="AE31" s="10">
        <v>5287</v>
      </c>
      <c r="AF31" s="10">
        <v>4322</v>
      </c>
      <c r="AG31" s="10">
        <v>3630</v>
      </c>
      <c r="AH31" s="10">
        <v>2916</v>
      </c>
      <c r="AI31" s="10">
        <v>2322</v>
      </c>
      <c r="AJ31" s="10">
        <v>1648</v>
      </c>
      <c r="AK31" s="10">
        <v>1077</v>
      </c>
      <c r="AL31" s="10">
        <v>821</v>
      </c>
      <c r="AM31" s="10">
        <v>771</v>
      </c>
      <c r="AN31" s="10">
        <v>541</v>
      </c>
      <c r="AO31" s="10">
        <v>353</v>
      </c>
      <c r="AP31" s="10">
        <v>233</v>
      </c>
      <c r="AQ31" s="10">
        <v>77400</v>
      </c>
      <c r="AR31" s="10">
        <v>15134</v>
      </c>
      <c r="AS31" s="10">
        <v>12888</v>
      </c>
      <c r="AT31" s="10">
        <v>9997</v>
      </c>
      <c r="AU31" s="10">
        <v>7547</v>
      </c>
      <c r="AV31" s="10">
        <v>6139</v>
      </c>
      <c r="AW31" s="10">
        <v>5206</v>
      </c>
      <c r="AX31" s="10">
        <v>4447</v>
      </c>
      <c r="AY31" s="10">
        <v>3743</v>
      </c>
      <c r="AZ31" s="10">
        <v>3157</v>
      </c>
      <c r="BA31" s="10">
        <v>2239</v>
      </c>
      <c r="BB31" s="10">
        <v>1642</v>
      </c>
      <c r="BC31" s="10">
        <v>1300</v>
      </c>
      <c r="BD31" s="10">
        <v>1311</v>
      </c>
      <c r="BE31" s="10">
        <v>934</v>
      </c>
      <c r="BF31" s="10">
        <v>773</v>
      </c>
      <c r="BG31" s="10">
        <v>489</v>
      </c>
      <c r="BH31" s="10">
        <v>454</v>
      </c>
    </row>
    <row r="32" spans="1:60" ht="13.2" x14ac:dyDescent="0.25">
      <c r="A32" s="2" t="s">
        <v>3</v>
      </c>
      <c r="B32" s="2" t="s">
        <v>291</v>
      </c>
      <c r="C32" s="2" t="s">
        <v>114</v>
      </c>
      <c r="D32" s="2" t="s">
        <v>313</v>
      </c>
      <c r="E32" s="2" t="s">
        <v>119</v>
      </c>
      <c r="F32" s="2">
        <v>2020</v>
      </c>
      <c r="G32" s="10">
        <v>693331</v>
      </c>
      <c r="H32" s="10">
        <v>103878</v>
      </c>
      <c r="I32" s="10">
        <v>88915</v>
      </c>
      <c r="J32" s="10">
        <v>86050</v>
      </c>
      <c r="K32" s="10">
        <v>82283</v>
      </c>
      <c r="L32" s="10">
        <v>71253</v>
      </c>
      <c r="M32" s="10">
        <v>61723</v>
      </c>
      <c r="N32" s="10">
        <v>51025</v>
      </c>
      <c r="O32" s="10">
        <v>40306</v>
      </c>
      <c r="P32" s="10">
        <v>33671</v>
      </c>
      <c r="Q32" s="10">
        <v>23564</v>
      </c>
      <c r="R32" s="10">
        <v>17530</v>
      </c>
      <c r="S32" s="10">
        <v>13096</v>
      </c>
      <c r="T32" s="10">
        <v>8614</v>
      </c>
      <c r="U32" s="10">
        <v>4904</v>
      </c>
      <c r="V32" s="10">
        <v>3214</v>
      </c>
      <c r="W32" s="10">
        <v>1959</v>
      </c>
      <c r="X32" s="10">
        <v>1346</v>
      </c>
      <c r="Y32" s="10">
        <v>349083</v>
      </c>
      <c r="Z32" s="10">
        <v>52047</v>
      </c>
      <c r="AA32" s="10">
        <v>44085</v>
      </c>
      <c r="AB32" s="10">
        <v>41610</v>
      </c>
      <c r="AC32" s="10">
        <v>40290</v>
      </c>
      <c r="AD32" s="10">
        <v>36147</v>
      </c>
      <c r="AE32" s="10">
        <v>31363</v>
      </c>
      <c r="AF32" s="10">
        <v>26558</v>
      </c>
      <c r="AG32" s="10">
        <v>20954</v>
      </c>
      <c r="AH32" s="10">
        <v>17793</v>
      </c>
      <c r="AI32" s="10">
        <v>12274</v>
      </c>
      <c r="AJ32" s="10">
        <v>9141</v>
      </c>
      <c r="AK32" s="10">
        <v>6806</v>
      </c>
      <c r="AL32" s="10">
        <v>4511</v>
      </c>
      <c r="AM32" s="10">
        <v>2597</v>
      </c>
      <c r="AN32" s="10">
        <v>1548</v>
      </c>
      <c r="AO32" s="10">
        <v>865</v>
      </c>
      <c r="AP32" s="10">
        <v>494</v>
      </c>
      <c r="AQ32" s="10">
        <v>344248</v>
      </c>
      <c r="AR32" s="10">
        <v>51831</v>
      </c>
      <c r="AS32" s="10">
        <v>44830</v>
      </c>
      <c r="AT32" s="10">
        <v>44440</v>
      </c>
      <c r="AU32" s="10">
        <v>41993</v>
      </c>
      <c r="AV32" s="10">
        <v>35106</v>
      </c>
      <c r="AW32" s="10">
        <v>30360</v>
      </c>
      <c r="AX32" s="10">
        <v>24467</v>
      </c>
      <c r="AY32" s="10">
        <v>19352</v>
      </c>
      <c r="AZ32" s="10">
        <v>15878</v>
      </c>
      <c r="BA32" s="10">
        <v>11290</v>
      </c>
      <c r="BB32" s="10">
        <v>8389</v>
      </c>
      <c r="BC32" s="10">
        <v>6290</v>
      </c>
      <c r="BD32" s="10">
        <v>4103</v>
      </c>
      <c r="BE32" s="10">
        <v>2307</v>
      </c>
      <c r="BF32" s="10">
        <v>1666</v>
      </c>
      <c r="BG32" s="10">
        <v>1094</v>
      </c>
      <c r="BH32" s="10">
        <v>852</v>
      </c>
    </row>
    <row r="33" spans="1:60" ht="13.2" x14ac:dyDescent="0.25">
      <c r="A33" s="2" t="s">
        <v>3</v>
      </c>
      <c r="B33" s="2" t="s">
        <v>291</v>
      </c>
      <c r="C33" s="2" t="s">
        <v>231</v>
      </c>
      <c r="D33" s="2" t="s">
        <v>470</v>
      </c>
      <c r="E33" s="2" t="s">
        <v>243</v>
      </c>
      <c r="F33" s="2">
        <v>2020</v>
      </c>
      <c r="G33" s="10">
        <v>182904</v>
      </c>
      <c r="H33" s="10">
        <v>27061</v>
      </c>
      <c r="I33" s="10">
        <v>22258</v>
      </c>
      <c r="J33" s="10">
        <v>20350</v>
      </c>
      <c r="K33" s="10">
        <v>21368</v>
      </c>
      <c r="L33" s="10">
        <v>20531</v>
      </c>
      <c r="M33" s="10">
        <v>18663</v>
      </c>
      <c r="N33" s="10">
        <v>15446</v>
      </c>
      <c r="O33" s="10">
        <v>10927</v>
      </c>
      <c r="P33" s="10">
        <v>8547</v>
      </c>
      <c r="Q33" s="10">
        <v>5813</v>
      </c>
      <c r="R33" s="10">
        <v>4262</v>
      </c>
      <c r="S33" s="10">
        <v>2918</v>
      </c>
      <c r="T33" s="10">
        <v>2002</v>
      </c>
      <c r="U33" s="10">
        <v>1128</v>
      </c>
      <c r="V33" s="10">
        <v>734</v>
      </c>
      <c r="W33" s="10">
        <v>504</v>
      </c>
      <c r="X33" s="10">
        <v>392</v>
      </c>
      <c r="Y33" s="10">
        <v>91610</v>
      </c>
      <c r="Z33" s="10">
        <v>13569</v>
      </c>
      <c r="AA33" s="10">
        <v>11122</v>
      </c>
      <c r="AB33" s="10">
        <v>9621</v>
      </c>
      <c r="AC33" s="10">
        <v>10422</v>
      </c>
      <c r="AD33" s="10">
        <v>10218</v>
      </c>
      <c r="AE33" s="10">
        <v>9364</v>
      </c>
      <c r="AF33" s="10">
        <v>8015</v>
      </c>
      <c r="AG33" s="10">
        <v>5879</v>
      </c>
      <c r="AH33" s="10">
        <v>4443</v>
      </c>
      <c r="AI33" s="10">
        <v>3038</v>
      </c>
      <c r="AJ33" s="10">
        <v>2245</v>
      </c>
      <c r="AK33" s="10">
        <v>1421</v>
      </c>
      <c r="AL33" s="10">
        <v>1034</v>
      </c>
      <c r="AM33" s="10">
        <v>560</v>
      </c>
      <c r="AN33" s="10">
        <v>327</v>
      </c>
      <c r="AO33" s="10">
        <v>189</v>
      </c>
      <c r="AP33" s="10">
        <v>143</v>
      </c>
      <c r="AQ33" s="10">
        <v>91294</v>
      </c>
      <c r="AR33" s="10">
        <v>13492</v>
      </c>
      <c r="AS33" s="10">
        <v>11136</v>
      </c>
      <c r="AT33" s="10">
        <v>10729</v>
      </c>
      <c r="AU33" s="10">
        <v>10946</v>
      </c>
      <c r="AV33" s="10">
        <v>10313</v>
      </c>
      <c r="AW33" s="10">
        <v>9299</v>
      </c>
      <c r="AX33" s="10">
        <v>7431</v>
      </c>
      <c r="AY33" s="10">
        <v>5048</v>
      </c>
      <c r="AZ33" s="10">
        <v>4104</v>
      </c>
      <c r="BA33" s="10">
        <v>2775</v>
      </c>
      <c r="BB33" s="10">
        <v>2017</v>
      </c>
      <c r="BC33" s="10">
        <v>1497</v>
      </c>
      <c r="BD33" s="10">
        <v>968</v>
      </c>
      <c r="BE33" s="10">
        <v>568</v>
      </c>
      <c r="BF33" s="10">
        <v>407</v>
      </c>
      <c r="BG33" s="10">
        <v>315</v>
      </c>
      <c r="BH33" s="10">
        <v>249</v>
      </c>
    </row>
    <row r="34" spans="1:60" ht="13.2" x14ac:dyDescent="0.25">
      <c r="A34" s="2" t="s">
        <v>3</v>
      </c>
      <c r="B34" s="2" t="s">
        <v>291</v>
      </c>
      <c r="C34" s="2" t="s">
        <v>174</v>
      </c>
      <c r="D34" s="2" t="s">
        <v>387</v>
      </c>
      <c r="E34" s="2" t="s">
        <v>179</v>
      </c>
      <c r="F34" s="2">
        <v>2020</v>
      </c>
      <c r="G34" s="10">
        <v>30304</v>
      </c>
      <c r="H34" s="10">
        <v>5073</v>
      </c>
      <c r="I34" s="10">
        <v>4884</v>
      </c>
      <c r="J34" s="10">
        <v>4350</v>
      </c>
      <c r="K34" s="10">
        <v>3546</v>
      </c>
      <c r="L34" s="10">
        <v>2491</v>
      </c>
      <c r="M34" s="10">
        <v>1905</v>
      </c>
      <c r="N34" s="10">
        <v>1768</v>
      </c>
      <c r="O34" s="10">
        <v>1569</v>
      </c>
      <c r="P34" s="10">
        <v>1302</v>
      </c>
      <c r="Q34" s="10">
        <v>947</v>
      </c>
      <c r="R34" s="10">
        <v>647</v>
      </c>
      <c r="S34" s="10">
        <v>540</v>
      </c>
      <c r="T34" s="10">
        <v>403</v>
      </c>
      <c r="U34" s="10">
        <v>267</v>
      </c>
      <c r="V34" s="10">
        <v>290</v>
      </c>
      <c r="W34" s="10">
        <v>170</v>
      </c>
      <c r="X34" s="10">
        <v>152</v>
      </c>
      <c r="Y34" s="10">
        <v>15112</v>
      </c>
      <c r="Z34" s="10">
        <v>2520</v>
      </c>
      <c r="AA34" s="10">
        <v>2468</v>
      </c>
      <c r="AB34" s="10">
        <v>2240</v>
      </c>
      <c r="AC34" s="10">
        <v>1850</v>
      </c>
      <c r="AD34" s="10">
        <v>1300</v>
      </c>
      <c r="AE34" s="10">
        <v>922</v>
      </c>
      <c r="AF34" s="10">
        <v>838</v>
      </c>
      <c r="AG34" s="10">
        <v>745</v>
      </c>
      <c r="AH34" s="10">
        <v>678</v>
      </c>
      <c r="AI34" s="10">
        <v>459</v>
      </c>
      <c r="AJ34" s="10">
        <v>329</v>
      </c>
      <c r="AK34" s="10">
        <v>263</v>
      </c>
      <c r="AL34" s="10">
        <v>170</v>
      </c>
      <c r="AM34" s="10">
        <v>126</v>
      </c>
      <c r="AN34" s="10">
        <v>98</v>
      </c>
      <c r="AO34" s="10">
        <v>61</v>
      </c>
      <c r="AP34" s="10">
        <v>45</v>
      </c>
      <c r="AQ34" s="10">
        <v>15192</v>
      </c>
      <c r="AR34" s="10">
        <v>2553</v>
      </c>
      <c r="AS34" s="10">
        <v>2416</v>
      </c>
      <c r="AT34" s="10">
        <v>2110</v>
      </c>
      <c r="AU34" s="10">
        <v>1696</v>
      </c>
      <c r="AV34" s="10">
        <v>1191</v>
      </c>
      <c r="AW34" s="10">
        <v>983</v>
      </c>
      <c r="AX34" s="10">
        <v>930</v>
      </c>
      <c r="AY34" s="10">
        <v>824</v>
      </c>
      <c r="AZ34" s="10">
        <v>624</v>
      </c>
      <c r="BA34" s="10">
        <v>488</v>
      </c>
      <c r="BB34" s="10">
        <v>318</v>
      </c>
      <c r="BC34" s="10">
        <v>277</v>
      </c>
      <c r="BD34" s="10">
        <v>233</v>
      </c>
      <c r="BE34" s="10">
        <v>141</v>
      </c>
      <c r="BF34" s="10">
        <v>192</v>
      </c>
      <c r="BG34" s="10">
        <v>109</v>
      </c>
      <c r="BH34" s="10">
        <v>107</v>
      </c>
    </row>
    <row r="35" spans="1:60" ht="13.2" x14ac:dyDescent="0.25">
      <c r="A35" s="2" t="s">
        <v>3</v>
      </c>
      <c r="B35" s="2" t="s">
        <v>291</v>
      </c>
      <c r="C35" s="2" t="s">
        <v>114</v>
      </c>
      <c r="D35" s="2" t="s">
        <v>313</v>
      </c>
      <c r="E35" s="2" t="s">
        <v>125</v>
      </c>
      <c r="F35" s="2">
        <v>2020</v>
      </c>
      <c r="G35" s="10">
        <v>165108</v>
      </c>
      <c r="H35" s="10">
        <v>22410</v>
      </c>
      <c r="I35" s="10">
        <v>20242</v>
      </c>
      <c r="J35" s="10">
        <v>21795</v>
      </c>
      <c r="K35" s="10">
        <v>21985</v>
      </c>
      <c r="L35" s="10">
        <v>15964</v>
      </c>
      <c r="M35" s="10">
        <v>12109</v>
      </c>
      <c r="N35" s="10">
        <v>9759</v>
      </c>
      <c r="O35" s="10">
        <v>9134</v>
      </c>
      <c r="P35" s="10">
        <v>8385</v>
      </c>
      <c r="Q35" s="10">
        <v>6777</v>
      </c>
      <c r="R35" s="10">
        <v>5226</v>
      </c>
      <c r="S35" s="10">
        <v>4225</v>
      </c>
      <c r="T35" s="10">
        <v>2926</v>
      </c>
      <c r="U35" s="10">
        <v>1779</v>
      </c>
      <c r="V35" s="10">
        <v>1181</v>
      </c>
      <c r="W35" s="10">
        <v>678</v>
      </c>
      <c r="X35" s="10">
        <v>533</v>
      </c>
      <c r="Y35" s="10">
        <v>82860</v>
      </c>
      <c r="Z35" s="10">
        <v>11356</v>
      </c>
      <c r="AA35" s="10">
        <v>10163</v>
      </c>
      <c r="AB35" s="10">
        <v>10837</v>
      </c>
      <c r="AC35" s="10">
        <v>11109</v>
      </c>
      <c r="AD35" s="10">
        <v>8315</v>
      </c>
      <c r="AE35" s="10">
        <v>6154</v>
      </c>
      <c r="AF35" s="10">
        <v>4826</v>
      </c>
      <c r="AG35" s="10">
        <v>4259</v>
      </c>
      <c r="AH35" s="10">
        <v>4097</v>
      </c>
      <c r="AI35" s="10">
        <v>3377</v>
      </c>
      <c r="AJ35" s="10">
        <v>2619</v>
      </c>
      <c r="AK35" s="10">
        <v>2203</v>
      </c>
      <c r="AL35" s="10">
        <v>1559</v>
      </c>
      <c r="AM35" s="10">
        <v>949</v>
      </c>
      <c r="AN35" s="10">
        <v>567</v>
      </c>
      <c r="AO35" s="10">
        <v>286</v>
      </c>
      <c r="AP35" s="10">
        <v>184</v>
      </c>
      <c r="AQ35" s="10">
        <v>82248</v>
      </c>
      <c r="AR35" s="10">
        <v>11054</v>
      </c>
      <c r="AS35" s="10">
        <v>10079</v>
      </c>
      <c r="AT35" s="10">
        <v>10958</v>
      </c>
      <c r="AU35" s="10">
        <v>10876</v>
      </c>
      <c r="AV35" s="10">
        <v>7649</v>
      </c>
      <c r="AW35" s="10">
        <v>5955</v>
      </c>
      <c r="AX35" s="10">
        <v>4933</v>
      </c>
      <c r="AY35" s="10">
        <v>4875</v>
      </c>
      <c r="AZ35" s="10">
        <v>4288</v>
      </c>
      <c r="BA35" s="10">
        <v>3400</v>
      </c>
      <c r="BB35" s="10">
        <v>2607</v>
      </c>
      <c r="BC35" s="10">
        <v>2022</v>
      </c>
      <c r="BD35" s="10">
        <v>1367</v>
      </c>
      <c r="BE35" s="10">
        <v>830</v>
      </c>
      <c r="BF35" s="10">
        <v>614</v>
      </c>
      <c r="BG35" s="10">
        <v>392</v>
      </c>
      <c r="BH35" s="10">
        <v>349</v>
      </c>
    </row>
    <row r="36" spans="1:60" ht="13.2" x14ac:dyDescent="0.25">
      <c r="A36" s="2" t="s">
        <v>3</v>
      </c>
      <c r="B36" s="2" t="s">
        <v>291</v>
      </c>
      <c r="C36" s="2" t="s">
        <v>114</v>
      </c>
      <c r="D36" s="2" t="s">
        <v>313</v>
      </c>
      <c r="E36" s="2" t="s">
        <v>127</v>
      </c>
      <c r="F36" s="2">
        <v>2020</v>
      </c>
      <c r="G36" s="10">
        <v>94883</v>
      </c>
      <c r="H36" s="10">
        <v>17397</v>
      </c>
      <c r="I36" s="10">
        <v>15071</v>
      </c>
      <c r="J36" s="10">
        <v>12736</v>
      </c>
      <c r="K36" s="10">
        <v>9998</v>
      </c>
      <c r="L36" s="10">
        <v>7186</v>
      </c>
      <c r="M36" s="10">
        <v>5977</v>
      </c>
      <c r="N36" s="10">
        <v>5248</v>
      </c>
      <c r="O36" s="10">
        <v>4754</v>
      </c>
      <c r="P36" s="10">
        <v>4058</v>
      </c>
      <c r="Q36" s="10">
        <v>3268</v>
      </c>
      <c r="R36" s="10">
        <v>2519</v>
      </c>
      <c r="S36" s="10">
        <v>2102</v>
      </c>
      <c r="T36" s="10">
        <v>1645</v>
      </c>
      <c r="U36" s="10">
        <v>1135</v>
      </c>
      <c r="V36" s="10">
        <v>913</v>
      </c>
      <c r="W36" s="10">
        <v>523</v>
      </c>
      <c r="X36" s="10">
        <v>353</v>
      </c>
      <c r="Y36" s="10">
        <v>47831</v>
      </c>
      <c r="Z36" s="10">
        <v>8740</v>
      </c>
      <c r="AA36" s="10">
        <v>7522</v>
      </c>
      <c r="AB36" s="10">
        <v>6435</v>
      </c>
      <c r="AC36" s="10">
        <v>5077</v>
      </c>
      <c r="AD36" s="10">
        <v>3685</v>
      </c>
      <c r="AE36" s="10">
        <v>3015</v>
      </c>
      <c r="AF36" s="10">
        <v>2631</v>
      </c>
      <c r="AG36" s="10">
        <v>2385</v>
      </c>
      <c r="AH36" s="10">
        <v>2070</v>
      </c>
      <c r="AI36" s="10">
        <v>1692</v>
      </c>
      <c r="AJ36" s="10">
        <v>1313</v>
      </c>
      <c r="AK36" s="10">
        <v>1010</v>
      </c>
      <c r="AL36" s="10">
        <v>760</v>
      </c>
      <c r="AM36" s="10">
        <v>597</v>
      </c>
      <c r="AN36" s="10">
        <v>475</v>
      </c>
      <c r="AO36" s="10">
        <v>274</v>
      </c>
      <c r="AP36" s="10">
        <v>150</v>
      </c>
      <c r="AQ36" s="10">
        <v>47052</v>
      </c>
      <c r="AR36" s="10">
        <v>8657</v>
      </c>
      <c r="AS36" s="10">
        <v>7549</v>
      </c>
      <c r="AT36" s="10">
        <v>6301</v>
      </c>
      <c r="AU36" s="10">
        <v>4921</v>
      </c>
      <c r="AV36" s="10">
        <v>3501</v>
      </c>
      <c r="AW36" s="10">
        <v>2962</v>
      </c>
      <c r="AX36" s="10">
        <v>2617</v>
      </c>
      <c r="AY36" s="10">
        <v>2369</v>
      </c>
      <c r="AZ36" s="10">
        <v>1988</v>
      </c>
      <c r="BA36" s="10">
        <v>1576</v>
      </c>
      <c r="BB36" s="10">
        <v>1206</v>
      </c>
      <c r="BC36" s="10">
        <v>1092</v>
      </c>
      <c r="BD36" s="10">
        <v>885</v>
      </c>
      <c r="BE36" s="10">
        <v>538</v>
      </c>
      <c r="BF36" s="10">
        <v>438</v>
      </c>
      <c r="BG36" s="10">
        <v>249</v>
      </c>
      <c r="BH36" s="10">
        <v>203</v>
      </c>
    </row>
    <row r="37" spans="1:60" ht="13.2" x14ac:dyDescent="0.25">
      <c r="A37" s="2" t="s">
        <v>3</v>
      </c>
      <c r="B37" s="2" t="s">
        <v>291</v>
      </c>
      <c r="C37" s="2" t="s">
        <v>253</v>
      </c>
      <c r="D37" s="2" t="s">
        <v>498</v>
      </c>
      <c r="E37" s="2" t="s">
        <v>261</v>
      </c>
      <c r="F37" s="2">
        <v>2020</v>
      </c>
      <c r="G37" s="10">
        <v>105710</v>
      </c>
      <c r="H37" s="10">
        <v>21553</v>
      </c>
      <c r="I37" s="10">
        <v>17213</v>
      </c>
      <c r="J37" s="10">
        <v>13698</v>
      </c>
      <c r="K37" s="10">
        <v>10101</v>
      </c>
      <c r="L37" s="10">
        <v>8798</v>
      </c>
      <c r="M37" s="10">
        <v>7125</v>
      </c>
      <c r="N37" s="10">
        <v>5803</v>
      </c>
      <c r="O37" s="10">
        <v>4780</v>
      </c>
      <c r="P37" s="10">
        <v>4197</v>
      </c>
      <c r="Q37" s="10">
        <v>3242</v>
      </c>
      <c r="R37" s="10">
        <v>2467</v>
      </c>
      <c r="S37" s="10">
        <v>1700</v>
      </c>
      <c r="T37" s="10">
        <v>1675</v>
      </c>
      <c r="U37" s="10">
        <v>1256</v>
      </c>
      <c r="V37" s="10">
        <v>866</v>
      </c>
      <c r="W37" s="10">
        <v>611</v>
      </c>
      <c r="X37" s="10">
        <v>625</v>
      </c>
      <c r="Y37" s="10">
        <v>51397</v>
      </c>
      <c r="Z37" s="10">
        <v>10946</v>
      </c>
      <c r="AA37" s="10">
        <v>8846</v>
      </c>
      <c r="AB37" s="10">
        <v>7000</v>
      </c>
      <c r="AC37" s="10">
        <v>4958</v>
      </c>
      <c r="AD37" s="10">
        <v>4196</v>
      </c>
      <c r="AE37" s="10">
        <v>3382</v>
      </c>
      <c r="AF37" s="10">
        <v>2665</v>
      </c>
      <c r="AG37" s="10">
        <v>2136</v>
      </c>
      <c r="AH37" s="10">
        <v>1880</v>
      </c>
      <c r="AI37" s="10">
        <v>1447</v>
      </c>
      <c r="AJ37" s="10">
        <v>1122</v>
      </c>
      <c r="AK37" s="10">
        <v>759</v>
      </c>
      <c r="AL37" s="10">
        <v>626</v>
      </c>
      <c r="AM37" s="10">
        <v>513</v>
      </c>
      <c r="AN37" s="10">
        <v>397</v>
      </c>
      <c r="AO37" s="10">
        <v>250</v>
      </c>
      <c r="AP37" s="10">
        <v>274</v>
      </c>
      <c r="AQ37" s="10">
        <v>54313</v>
      </c>
      <c r="AR37" s="10">
        <v>10607</v>
      </c>
      <c r="AS37" s="10">
        <v>8367</v>
      </c>
      <c r="AT37" s="10">
        <v>6698</v>
      </c>
      <c r="AU37" s="10">
        <v>5143</v>
      </c>
      <c r="AV37" s="10">
        <v>4602</v>
      </c>
      <c r="AW37" s="10">
        <v>3743</v>
      </c>
      <c r="AX37" s="10">
        <v>3138</v>
      </c>
      <c r="AY37" s="10">
        <v>2644</v>
      </c>
      <c r="AZ37" s="10">
        <v>2317</v>
      </c>
      <c r="BA37" s="10">
        <v>1795</v>
      </c>
      <c r="BB37" s="10">
        <v>1345</v>
      </c>
      <c r="BC37" s="10">
        <v>941</v>
      </c>
      <c r="BD37" s="10">
        <v>1049</v>
      </c>
      <c r="BE37" s="10">
        <v>743</v>
      </c>
      <c r="BF37" s="10">
        <v>469</v>
      </c>
      <c r="BG37" s="10">
        <v>361</v>
      </c>
      <c r="BH37" s="10">
        <v>351</v>
      </c>
    </row>
    <row r="38" spans="1:60" ht="13.2" x14ac:dyDescent="0.25">
      <c r="A38" s="2" t="s">
        <v>3</v>
      </c>
      <c r="B38" s="2" t="s">
        <v>291</v>
      </c>
      <c r="C38" s="2" t="s">
        <v>138</v>
      </c>
      <c r="D38" s="2" t="s">
        <v>335</v>
      </c>
      <c r="E38" s="2" t="s">
        <v>149</v>
      </c>
      <c r="F38" s="2">
        <v>2020</v>
      </c>
      <c r="G38" s="10">
        <v>430459</v>
      </c>
      <c r="H38" s="10">
        <v>81427</v>
      </c>
      <c r="I38" s="10">
        <v>70854</v>
      </c>
      <c r="J38" s="10">
        <v>57056</v>
      </c>
      <c r="K38" s="10">
        <v>43523</v>
      </c>
      <c r="L38" s="10">
        <v>35968</v>
      </c>
      <c r="M38" s="10">
        <v>28640</v>
      </c>
      <c r="N38" s="10">
        <v>22776</v>
      </c>
      <c r="O38" s="10">
        <v>21044</v>
      </c>
      <c r="P38" s="10">
        <v>18413</v>
      </c>
      <c r="Q38" s="10">
        <v>14033</v>
      </c>
      <c r="R38" s="10">
        <v>10104</v>
      </c>
      <c r="S38" s="10">
        <v>7973</v>
      </c>
      <c r="T38" s="10">
        <v>6675</v>
      </c>
      <c r="U38" s="10">
        <v>4604</v>
      </c>
      <c r="V38" s="10">
        <v>3642</v>
      </c>
      <c r="W38" s="10">
        <v>1996</v>
      </c>
      <c r="X38" s="10">
        <v>1731</v>
      </c>
      <c r="Y38" s="10">
        <v>212895</v>
      </c>
      <c r="Z38" s="10">
        <v>40665</v>
      </c>
      <c r="AA38" s="10">
        <v>35575</v>
      </c>
      <c r="AB38" s="10">
        <v>29188</v>
      </c>
      <c r="AC38" s="10">
        <v>22001</v>
      </c>
      <c r="AD38" s="10">
        <v>18175</v>
      </c>
      <c r="AE38" s="10">
        <v>14250</v>
      </c>
      <c r="AF38" s="10">
        <v>10995</v>
      </c>
      <c r="AG38" s="10">
        <v>9879</v>
      </c>
      <c r="AH38" s="10">
        <v>8789</v>
      </c>
      <c r="AI38" s="10">
        <v>7041</v>
      </c>
      <c r="AJ38" s="10">
        <v>4951</v>
      </c>
      <c r="AK38" s="10">
        <v>3656</v>
      </c>
      <c r="AL38" s="10">
        <v>2677</v>
      </c>
      <c r="AM38" s="10">
        <v>2025</v>
      </c>
      <c r="AN38" s="10">
        <v>1511</v>
      </c>
      <c r="AO38" s="10">
        <v>878</v>
      </c>
      <c r="AP38" s="10">
        <v>639</v>
      </c>
      <c r="AQ38" s="10">
        <v>217564</v>
      </c>
      <c r="AR38" s="10">
        <v>40762</v>
      </c>
      <c r="AS38" s="10">
        <v>35279</v>
      </c>
      <c r="AT38" s="10">
        <v>27868</v>
      </c>
      <c r="AU38" s="10">
        <v>21522</v>
      </c>
      <c r="AV38" s="10">
        <v>17793</v>
      </c>
      <c r="AW38" s="10">
        <v>14390</v>
      </c>
      <c r="AX38" s="10">
        <v>11781</v>
      </c>
      <c r="AY38" s="10">
        <v>11165</v>
      </c>
      <c r="AZ38" s="10">
        <v>9624</v>
      </c>
      <c r="BA38" s="10">
        <v>6992</v>
      </c>
      <c r="BB38" s="10">
        <v>5153</v>
      </c>
      <c r="BC38" s="10">
        <v>4317</v>
      </c>
      <c r="BD38" s="10">
        <v>3998</v>
      </c>
      <c r="BE38" s="10">
        <v>2579</v>
      </c>
      <c r="BF38" s="10">
        <v>2131</v>
      </c>
      <c r="BG38" s="10">
        <v>1118</v>
      </c>
      <c r="BH38" s="10">
        <v>1092</v>
      </c>
    </row>
    <row r="39" spans="1:60" ht="13.2" x14ac:dyDescent="0.25">
      <c r="A39" s="2" t="s">
        <v>3</v>
      </c>
      <c r="B39" s="2" t="s">
        <v>291</v>
      </c>
      <c r="C39" s="2" t="s">
        <v>174</v>
      </c>
      <c r="D39" s="2" t="s">
        <v>387</v>
      </c>
      <c r="E39" s="2" t="s">
        <v>174</v>
      </c>
      <c r="F39" s="2">
        <v>2020</v>
      </c>
      <c r="G39" s="10">
        <v>2797456</v>
      </c>
      <c r="H39" s="10">
        <v>433594</v>
      </c>
      <c r="I39" s="10">
        <v>361301</v>
      </c>
      <c r="J39" s="10">
        <v>328547</v>
      </c>
      <c r="K39" s="10">
        <v>302317</v>
      </c>
      <c r="L39" s="10">
        <v>306441</v>
      </c>
      <c r="M39" s="10">
        <v>277870</v>
      </c>
      <c r="N39" s="10">
        <v>233058</v>
      </c>
      <c r="O39" s="10">
        <v>183594</v>
      </c>
      <c r="P39" s="10">
        <v>134360</v>
      </c>
      <c r="Q39" s="10">
        <v>84734</v>
      </c>
      <c r="R39" s="10">
        <v>54835</v>
      </c>
      <c r="S39" s="10">
        <v>39336</v>
      </c>
      <c r="T39" s="10">
        <v>24848</v>
      </c>
      <c r="U39" s="10">
        <v>13883</v>
      </c>
      <c r="V39" s="10">
        <v>8909</v>
      </c>
      <c r="W39" s="10">
        <v>5274</v>
      </c>
      <c r="X39" s="10">
        <v>4555</v>
      </c>
      <c r="Y39" s="10">
        <v>1401395</v>
      </c>
      <c r="Z39" s="10">
        <v>218466</v>
      </c>
      <c r="AA39" s="10">
        <v>178645</v>
      </c>
      <c r="AB39" s="10">
        <v>156423</v>
      </c>
      <c r="AC39" s="10">
        <v>143491</v>
      </c>
      <c r="AD39" s="10">
        <v>148789</v>
      </c>
      <c r="AE39" s="10">
        <v>140926</v>
      </c>
      <c r="AF39" s="10">
        <v>119601</v>
      </c>
      <c r="AG39" s="10">
        <v>99323</v>
      </c>
      <c r="AH39" s="10">
        <v>74151</v>
      </c>
      <c r="AI39" s="10">
        <v>46380</v>
      </c>
      <c r="AJ39" s="10">
        <v>28806</v>
      </c>
      <c r="AK39" s="10">
        <v>19675</v>
      </c>
      <c r="AL39" s="10">
        <v>12348</v>
      </c>
      <c r="AM39" s="10">
        <v>7026</v>
      </c>
      <c r="AN39" s="10">
        <v>4051</v>
      </c>
      <c r="AO39" s="10">
        <v>1928</v>
      </c>
      <c r="AP39" s="10">
        <v>1366</v>
      </c>
      <c r="AQ39" s="10">
        <v>1396061</v>
      </c>
      <c r="AR39" s="10">
        <v>215128</v>
      </c>
      <c r="AS39" s="10">
        <v>182656</v>
      </c>
      <c r="AT39" s="10">
        <v>172124</v>
      </c>
      <c r="AU39" s="10">
        <v>158826</v>
      </c>
      <c r="AV39" s="10">
        <v>157652</v>
      </c>
      <c r="AW39" s="10">
        <v>136944</v>
      </c>
      <c r="AX39" s="10">
        <v>113457</v>
      </c>
      <c r="AY39" s="10">
        <v>84271</v>
      </c>
      <c r="AZ39" s="10">
        <v>60209</v>
      </c>
      <c r="BA39" s="10">
        <v>38354</v>
      </c>
      <c r="BB39" s="10">
        <v>26029</v>
      </c>
      <c r="BC39" s="10">
        <v>19661</v>
      </c>
      <c r="BD39" s="10">
        <v>12500</v>
      </c>
      <c r="BE39" s="10">
        <v>6857</v>
      </c>
      <c r="BF39" s="10">
        <v>4858</v>
      </c>
      <c r="BG39" s="10">
        <v>3346</v>
      </c>
      <c r="BH39" s="10">
        <v>3189</v>
      </c>
    </row>
    <row r="40" spans="1:60" ht="13.2" x14ac:dyDescent="0.25">
      <c r="A40" s="2" t="s">
        <v>3</v>
      </c>
      <c r="B40" s="2" t="s">
        <v>291</v>
      </c>
      <c r="C40" s="2" t="s">
        <v>199</v>
      </c>
      <c r="D40" s="2" t="s">
        <v>446</v>
      </c>
      <c r="E40" s="2" t="s">
        <v>205</v>
      </c>
      <c r="F40" s="2">
        <v>2020</v>
      </c>
      <c r="G40" s="10">
        <v>178743</v>
      </c>
      <c r="H40" s="10">
        <v>34233</v>
      </c>
      <c r="I40" s="10">
        <v>29439</v>
      </c>
      <c r="J40" s="10">
        <v>23789</v>
      </c>
      <c r="K40" s="10">
        <v>18042</v>
      </c>
      <c r="L40" s="10">
        <v>14638</v>
      </c>
      <c r="M40" s="10">
        <v>12263</v>
      </c>
      <c r="N40" s="10">
        <v>9227</v>
      </c>
      <c r="O40" s="10">
        <v>8410</v>
      </c>
      <c r="P40" s="10">
        <v>7783</v>
      </c>
      <c r="Q40" s="10">
        <v>6074</v>
      </c>
      <c r="R40" s="10">
        <v>4090</v>
      </c>
      <c r="S40" s="10">
        <v>3162</v>
      </c>
      <c r="T40" s="10">
        <v>2632</v>
      </c>
      <c r="U40" s="10">
        <v>1981</v>
      </c>
      <c r="V40" s="10">
        <v>1440</v>
      </c>
      <c r="W40" s="10">
        <v>902</v>
      </c>
      <c r="X40" s="10">
        <v>638</v>
      </c>
      <c r="Y40" s="10">
        <v>89275</v>
      </c>
      <c r="Z40" s="10">
        <v>17367</v>
      </c>
      <c r="AA40" s="10">
        <v>14826</v>
      </c>
      <c r="AB40" s="10">
        <v>12310</v>
      </c>
      <c r="AC40" s="10">
        <v>8950</v>
      </c>
      <c r="AD40" s="10">
        <v>7049</v>
      </c>
      <c r="AE40" s="10">
        <v>5955</v>
      </c>
      <c r="AF40" s="10">
        <v>4651</v>
      </c>
      <c r="AG40" s="10">
        <v>4045</v>
      </c>
      <c r="AH40" s="10">
        <v>3843</v>
      </c>
      <c r="AI40" s="10">
        <v>3201</v>
      </c>
      <c r="AJ40" s="10">
        <v>2247</v>
      </c>
      <c r="AK40" s="10">
        <v>1391</v>
      </c>
      <c r="AL40" s="10">
        <v>1129</v>
      </c>
      <c r="AM40" s="10">
        <v>929</v>
      </c>
      <c r="AN40" s="10">
        <v>692</v>
      </c>
      <c r="AO40" s="10">
        <v>425</v>
      </c>
      <c r="AP40" s="10">
        <v>265</v>
      </c>
      <c r="AQ40" s="10">
        <v>89468</v>
      </c>
      <c r="AR40" s="10">
        <v>16866</v>
      </c>
      <c r="AS40" s="10">
        <v>14613</v>
      </c>
      <c r="AT40" s="10">
        <v>11479</v>
      </c>
      <c r="AU40" s="10">
        <v>9092</v>
      </c>
      <c r="AV40" s="10">
        <v>7589</v>
      </c>
      <c r="AW40" s="10">
        <v>6308</v>
      </c>
      <c r="AX40" s="10">
        <v>4576</v>
      </c>
      <c r="AY40" s="10">
        <v>4365</v>
      </c>
      <c r="AZ40" s="10">
        <v>3940</v>
      </c>
      <c r="BA40" s="10">
        <v>2873</v>
      </c>
      <c r="BB40" s="10">
        <v>1843</v>
      </c>
      <c r="BC40" s="10">
        <v>1771</v>
      </c>
      <c r="BD40" s="10">
        <v>1503</v>
      </c>
      <c r="BE40" s="10">
        <v>1052</v>
      </c>
      <c r="BF40" s="10">
        <v>748</v>
      </c>
      <c r="BG40" s="10">
        <v>477</v>
      </c>
      <c r="BH40" s="10">
        <v>373</v>
      </c>
    </row>
    <row r="41" spans="1:60" ht="13.2" x14ac:dyDescent="0.25">
      <c r="A41" s="2" t="s">
        <v>3</v>
      </c>
      <c r="B41" s="2" t="s">
        <v>291</v>
      </c>
      <c r="C41" s="2" t="s">
        <v>113</v>
      </c>
      <c r="D41" s="2" t="s">
        <v>404</v>
      </c>
      <c r="E41" s="2" t="s">
        <v>194</v>
      </c>
      <c r="F41" s="2">
        <v>2020</v>
      </c>
      <c r="G41" s="10">
        <v>99972</v>
      </c>
      <c r="H41" s="10">
        <v>19415</v>
      </c>
      <c r="I41" s="10">
        <v>17452</v>
      </c>
      <c r="J41" s="10">
        <v>13502</v>
      </c>
      <c r="K41" s="10">
        <v>10419</v>
      </c>
      <c r="L41" s="10">
        <v>8360</v>
      </c>
      <c r="M41" s="10">
        <v>6673</v>
      </c>
      <c r="N41" s="10">
        <v>4813</v>
      </c>
      <c r="O41" s="10">
        <v>4156</v>
      </c>
      <c r="P41" s="10">
        <v>4081</v>
      </c>
      <c r="Q41" s="10">
        <v>2894</v>
      </c>
      <c r="R41" s="10">
        <v>2216</v>
      </c>
      <c r="S41" s="10">
        <v>1507</v>
      </c>
      <c r="T41" s="10">
        <v>1460</v>
      </c>
      <c r="U41" s="10">
        <v>1050</v>
      </c>
      <c r="V41" s="10">
        <v>957</v>
      </c>
      <c r="W41" s="10">
        <v>582</v>
      </c>
      <c r="X41" s="10">
        <v>435</v>
      </c>
      <c r="Y41" s="10">
        <v>49084</v>
      </c>
      <c r="Z41" s="10">
        <v>9749</v>
      </c>
      <c r="AA41" s="10">
        <v>8798</v>
      </c>
      <c r="AB41" s="10">
        <v>6992</v>
      </c>
      <c r="AC41" s="10">
        <v>5207</v>
      </c>
      <c r="AD41" s="10">
        <v>3995</v>
      </c>
      <c r="AE41" s="10">
        <v>3276</v>
      </c>
      <c r="AF41" s="10">
        <v>2343</v>
      </c>
      <c r="AG41" s="10">
        <v>1970</v>
      </c>
      <c r="AH41" s="10">
        <v>1821</v>
      </c>
      <c r="AI41" s="10">
        <v>1378</v>
      </c>
      <c r="AJ41" s="10">
        <v>1052</v>
      </c>
      <c r="AK41" s="10">
        <v>676</v>
      </c>
      <c r="AL41" s="10">
        <v>526</v>
      </c>
      <c r="AM41" s="10">
        <v>438</v>
      </c>
      <c r="AN41" s="10">
        <v>427</v>
      </c>
      <c r="AO41" s="10">
        <v>255</v>
      </c>
      <c r="AP41" s="10">
        <v>181</v>
      </c>
      <c r="AQ41" s="10">
        <v>50888</v>
      </c>
      <c r="AR41" s="10">
        <v>9666</v>
      </c>
      <c r="AS41" s="10">
        <v>8654</v>
      </c>
      <c r="AT41" s="10">
        <v>6510</v>
      </c>
      <c r="AU41" s="10">
        <v>5212</v>
      </c>
      <c r="AV41" s="10">
        <v>4365</v>
      </c>
      <c r="AW41" s="10">
        <v>3397</v>
      </c>
      <c r="AX41" s="10">
        <v>2470</v>
      </c>
      <c r="AY41" s="10">
        <v>2186</v>
      </c>
      <c r="AZ41" s="10">
        <v>2260</v>
      </c>
      <c r="BA41" s="10">
        <v>1516</v>
      </c>
      <c r="BB41" s="10">
        <v>1164</v>
      </c>
      <c r="BC41" s="10">
        <v>831</v>
      </c>
      <c r="BD41" s="10">
        <v>934</v>
      </c>
      <c r="BE41" s="10">
        <v>612</v>
      </c>
      <c r="BF41" s="10">
        <v>530</v>
      </c>
      <c r="BG41" s="10">
        <v>327</v>
      </c>
      <c r="BH41" s="10">
        <v>254</v>
      </c>
    </row>
    <row r="42" spans="1:60" ht="13.2" x14ac:dyDescent="0.25">
      <c r="A42" s="2" t="s">
        <v>3</v>
      </c>
      <c r="B42" s="2" t="s">
        <v>291</v>
      </c>
      <c r="C42" s="2" t="s">
        <v>138</v>
      </c>
      <c r="D42" s="2" t="s">
        <v>335</v>
      </c>
      <c r="E42" s="2" t="s">
        <v>152</v>
      </c>
      <c r="F42" s="2">
        <v>2020</v>
      </c>
      <c r="G42" s="10">
        <v>97116</v>
      </c>
      <c r="H42" s="10">
        <v>17103</v>
      </c>
      <c r="I42" s="10">
        <v>15724</v>
      </c>
      <c r="J42" s="10">
        <v>13408</v>
      </c>
      <c r="K42" s="10">
        <v>10555</v>
      </c>
      <c r="L42" s="10">
        <v>8277</v>
      </c>
      <c r="M42" s="10">
        <v>6426</v>
      </c>
      <c r="N42" s="10">
        <v>5788</v>
      </c>
      <c r="O42" s="10">
        <v>4939</v>
      </c>
      <c r="P42" s="10">
        <v>4298</v>
      </c>
      <c r="Q42" s="10">
        <v>2944</v>
      </c>
      <c r="R42" s="10">
        <v>2188</v>
      </c>
      <c r="S42" s="10">
        <v>1515</v>
      </c>
      <c r="T42" s="10">
        <v>1406</v>
      </c>
      <c r="U42" s="10">
        <v>904</v>
      </c>
      <c r="V42" s="10">
        <v>781</v>
      </c>
      <c r="W42" s="10">
        <v>484</v>
      </c>
      <c r="X42" s="10">
        <v>376</v>
      </c>
      <c r="Y42" s="10">
        <v>48813</v>
      </c>
      <c r="Z42" s="10">
        <v>8603</v>
      </c>
      <c r="AA42" s="10">
        <v>7909</v>
      </c>
      <c r="AB42" s="10">
        <v>6863</v>
      </c>
      <c r="AC42" s="10">
        <v>5551</v>
      </c>
      <c r="AD42" s="10">
        <v>4186</v>
      </c>
      <c r="AE42" s="10">
        <v>3212</v>
      </c>
      <c r="AF42" s="10">
        <v>2866</v>
      </c>
      <c r="AG42" s="10">
        <v>2517</v>
      </c>
      <c r="AH42" s="10">
        <v>2126</v>
      </c>
      <c r="AI42" s="10">
        <v>1515</v>
      </c>
      <c r="AJ42" s="10">
        <v>1152</v>
      </c>
      <c r="AK42" s="10">
        <v>707</v>
      </c>
      <c r="AL42" s="10">
        <v>565</v>
      </c>
      <c r="AM42" s="10">
        <v>383</v>
      </c>
      <c r="AN42" s="10">
        <v>332</v>
      </c>
      <c r="AO42" s="10">
        <v>189</v>
      </c>
      <c r="AP42" s="10">
        <v>137</v>
      </c>
      <c r="AQ42" s="10">
        <v>48303</v>
      </c>
      <c r="AR42" s="10">
        <v>8500</v>
      </c>
      <c r="AS42" s="10">
        <v>7815</v>
      </c>
      <c r="AT42" s="10">
        <v>6545</v>
      </c>
      <c r="AU42" s="10">
        <v>5004</v>
      </c>
      <c r="AV42" s="10">
        <v>4091</v>
      </c>
      <c r="AW42" s="10">
        <v>3214</v>
      </c>
      <c r="AX42" s="10">
        <v>2922</v>
      </c>
      <c r="AY42" s="10">
        <v>2422</v>
      </c>
      <c r="AZ42" s="10">
        <v>2172</v>
      </c>
      <c r="BA42" s="10">
        <v>1429</v>
      </c>
      <c r="BB42" s="10">
        <v>1036</v>
      </c>
      <c r="BC42" s="10">
        <v>808</v>
      </c>
      <c r="BD42" s="10">
        <v>841</v>
      </c>
      <c r="BE42" s="10">
        <v>521</v>
      </c>
      <c r="BF42" s="10">
        <v>449</v>
      </c>
      <c r="BG42" s="10">
        <v>295</v>
      </c>
      <c r="BH42" s="10">
        <v>239</v>
      </c>
    </row>
    <row r="43" spans="1:60" ht="13.2" x14ac:dyDescent="0.25">
      <c r="A43" s="2" t="s">
        <v>3</v>
      </c>
      <c r="B43" s="2" t="s">
        <v>291</v>
      </c>
      <c r="C43" s="2" t="s">
        <v>158</v>
      </c>
      <c r="D43" s="2" t="s">
        <v>363</v>
      </c>
      <c r="E43" s="2" t="s">
        <v>163</v>
      </c>
      <c r="F43" s="2">
        <v>2020</v>
      </c>
      <c r="G43" s="10">
        <v>282568</v>
      </c>
      <c r="H43" s="10">
        <v>51793</v>
      </c>
      <c r="I43" s="10">
        <v>44603</v>
      </c>
      <c r="J43" s="10">
        <v>37629</v>
      </c>
      <c r="K43" s="10">
        <v>30491</v>
      </c>
      <c r="L43" s="10">
        <v>24216</v>
      </c>
      <c r="M43" s="10">
        <v>19348</v>
      </c>
      <c r="N43" s="10">
        <v>15951</v>
      </c>
      <c r="O43" s="10">
        <v>13498</v>
      </c>
      <c r="P43" s="10">
        <v>12081</v>
      </c>
      <c r="Q43" s="10">
        <v>9262</v>
      </c>
      <c r="R43" s="10">
        <v>7058</v>
      </c>
      <c r="S43" s="10">
        <v>5556</v>
      </c>
      <c r="T43" s="10">
        <v>4400</v>
      </c>
      <c r="U43" s="10">
        <v>2881</v>
      </c>
      <c r="V43" s="10">
        <v>1941</v>
      </c>
      <c r="W43" s="10">
        <v>1141</v>
      </c>
      <c r="X43" s="10">
        <v>719</v>
      </c>
      <c r="Y43" s="10">
        <v>140754</v>
      </c>
      <c r="Z43" s="10">
        <v>26238</v>
      </c>
      <c r="AA43" s="10">
        <v>22557</v>
      </c>
      <c r="AB43" s="10">
        <v>19163</v>
      </c>
      <c r="AC43" s="10">
        <v>15283</v>
      </c>
      <c r="AD43" s="10">
        <v>11945</v>
      </c>
      <c r="AE43" s="10">
        <v>9435</v>
      </c>
      <c r="AF43" s="10">
        <v>7750</v>
      </c>
      <c r="AG43" s="10">
        <v>6574</v>
      </c>
      <c r="AH43" s="10">
        <v>5991</v>
      </c>
      <c r="AI43" s="10">
        <v>4636</v>
      </c>
      <c r="AJ43" s="10">
        <v>3592</v>
      </c>
      <c r="AK43" s="10">
        <v>2508</v>
      </c>
      <c r="AL43" s="10">
        <v>1972</v>
      </c>
      <c r="AM43" s="10">
        <v>1404</v>
      </c>
      <c r="AN43" s="10">
        <v>901</v>
      </c>
      <c r="AO43" s="10">
        <v>539</v>
      </c>
      <c r="AP43" s="10">
        <v>266</v>
      </c>
      <c r="AQ43" s="10">
        <v>141814</v>
      </c>
      <c r="AR43" s="10">
        <v>25555</v>
      </c>
      <c r="AS43" s="10">
        <v>22046</v>
      </c>
      <c r="AT43" s="10">
        <v>18466</v>
      </c>
      <c r="AU43" s="10">
        <v>15208</v>
      </c>
      <c r="AV43" s="10">
        <v>12271</v>
      </c>
      <c r="AW43" s="10">
        <v>9913</v>
      </c>
      <c r="AX43" s="10">
        <v>8201</v>
      </c>
      <c r="AY43" s="10">
        <v>6924</v>
      </c>
      <c r="AZ43" s="10">
        <v>6090</v>
      </c>
      <c r="BA43" s="10">
        <v>4626</v>
      </c>
      <c r="BB43" s="10">
        <v>3466</v>
      </c>
      <c r="BC43" s="10">
        <v>3048</v>
      </c>
      <c r="BD43" s="10">
        <v>2428</v>
      </c>
      <c r="BE43" s="10">
        <v>1477</v>
      </c>
      <c r="BF43" s="10">
        <v>1040</v>
      </c>
      <c r="BG43" s="10">
        <v>602</v>
      </c>
      <c r="BH43" s="10">
        <v>453</v>
      </c>
    </row>
    <row r="44" spans="1:60" ht="13.2" x14ac:dyDescent="0.25">
      <c r="A44" s="2" t="s">
        <v>3</v>
      </c>
      <c r="B44" s="2" t="s">
        <v>291</v>
      </c>
      <c r="C44" s="2" t="s">
        <v>114</v>
      </c>
      <c r="D44" s="2" t="s">
        <v>313</v>
      </c>
      <c r="E44" s="2" t="s">
        <v>128</v>
      </c>
      <c r="F44" s="2">
        <v>2020</v>
      </c>
      <c r="G44" s="10">
        <v>117508</v>
      </c>
      <c r="H44" s="10">
        <v>20392</v>
      </c>
      <c r="I44" s="10">
        <v>18477</v>
      </c>
      <c r="J44" s="10">
        <v>15992</v>
      </c>
      <c r="K44" s="10">
        <v>12722</v>
      </c>
      <c r="L44" s="10">
        <v>9226</v>
      </c>
      <c r="M44" s="10">
        <v>7828</v>
      </c>
      <c r="N44" s="10">
        <v>6567</v>
      </c>
      <c r="O44" s="10">
        <v>5969</v>
      </c>
      <c r="P44" s="10">
        <v>5154</v>
      </c>
      <c r="Q44" s="10">
        <v>3876</v>
      </c>
      <c r="R44" s="10">
        <v>2957</v>
      </c>
      <c r="S44" s="10">
        <v>2499</v>
      </c>
      <c r="T44" s="10">
        <v>2127</v>
      </c>
      <c r="U44" s="10">
        <v>1467</v>
      </c>
      <c r="V44" s="10">
        <v>1101</v>
      </c>
      <c r="W44" s="10">
        <v>734</v>
      </c>
      <c r="X44" s="10">
        <v>420</v>
      </c>
      <c r="Y44" s="10">
        <v>59490</v>
      </c>
      <c r="Z44" s="10">
        <v>10231</v>
      </c>
      <c r="AA44" s="10">
        <v>9434</v>
      </c>
      <c r="AB44" s="10">
        <v>8258</v>
      </c>
      <c r="AC44" s="10">
        <v>6553</v>
      </c>
      <c r="AD44" s="10">
        <v>4631</v>
      </c>
      <c r="AE44" s="10">
        <v>3935</v>
      </c>
      <c r="AF44" s="10">
        <v>3323</v>
      </c>
      <c r="AG44" s="10">
        <v>3026</v>
      </c>
      <c r="AH44" s="10">
        <v>2752</v>
      </c>
      <c r="AI44" s="10">
        <v>1940</v>
      </c>
      <c r="AJ44" s="10">
        <v>1467</v>
      </c>
      <c r="AK44" s="10">
        <v>1150</v>
      </c>
      <c r="AL44" s="10">
        <v>974</v>
      </c>
      <c r="AM44" s="10">
        <v>704</v>
      </c>
      <c r="AN44" s="10">
        <v>551</v>
      </c>
      <c r="AO44" s="10">
        <v>372</v>
      </c>
      <c r="AP44" s="10">
        <v>189</v>
      </c>
      <c r="AQ44" s="10">
        <v>58018</v>
      </c>
      <c r="AR44" s="10">
        <v>10161</v>
      </c>
      <c r="AS44" s="10">
        <v>9043</v>
      </c>
      <c r="AT44" s="10">
        <v>7734</v>
      </c>
      <c r="AU44" s="10">
        <v>6169</v>
      </c>
      <c r="AV44" s="10">
        <v>4595</v>
      </c>
      <c r="AW44" s="10">
        <v>3893</v>
      </c>
      <c r="AX44" s="10">
        <v>3244</v>
      </c>
      <c r="AY44" s="10">
        <v>2943</v>
      </c>
      <c r="AZ44" s="10">
        <v>2402</v>
      </c>
      <c r="BA44" s="10">
        <v>1936</v>
      </c>
      <c r="BB44" s="10">
        <v>1490</v>
      </c>
      <c r="BC44" s="10">
        <v>1349</v>
      </c>
      <c r="BD44" s="10">
        <v>1153</v>
      </c>
      <c r="BE44" s="10">
        <v>763</v>
      </c>
      <c r="BF44" s="10">
        <v>550</v>
      </c>
      <c r="BG44" s="10">
        <v>362</v>
      </c>
      <c r="BH44" s="10">
        <v>231</v>
      </c>
    </row>
    <row r="45" spans="1:60" ht="13.2" x14ac:dyDescent="0.25">
      <c r="A45" s="2" t="s">
        <v>3</v>
      </c>
      <c r="B45" s="2" t="s">
        <v>291</v>
      </c>
      <c r="C45" s="2" t="s">
        <v>231</v>
      </c>
      <c r="D45" s="2" t="s">
        <v>470</v>
      </c>
      <c r="E45" s="2" t="s">
        <v>244</v>
      </c>
      <c r="F45" s="2">
        <v>2020</v>
      </c>
      <c r="G45" s="10">
        <v>257574</v>
      </c>
      <c r="H45" s="10">
        <v>43926</v>
      </c>
      <c r="I45" s="10">
        <v>38104</v>
      </c>
      <c r="J45" s="10">
        <v>34281</v>
      </c>
      <c r="K45" s="10">
        <v>30127</v>
      </c>
      <c r="L45" s="10">
        <v>25691</v>
      </c>
      <c r="M45" s="10">
        <v>20138</v>
      </c>
      <c r="N45" s="10">
        <v>16750</v>
      </c>
      <c r="O45" s="10">
        <v>13746</v>
      </c>
      <c r="P45" s="10">
        <v>11042</v>
      </c>
      <c r="Q45" s="10">
        <v>7799</v>
      </c>
      <c r="R45" s="10">
        <v>5262</v>
      </c>
      <c r="S45" s="10">
        <v>3367</v>
      </c>
      <c r="T45" s="10">
        <v>2508</v>
      </c>
      <c r="U45" s="10">
        <v>1838</v>
      </c>
      <c r="V45" s="10">
        <v>1287</v>
      </c>
      <c r="W45" s="10">
        <v>940</v>
      </c>
      <c r="X45" s="10">
        <v>768</v>
      </c>
      <c r="Y45" s="10">
        <v>129888</v>
      </c>
      <c r="Z45" s="10">
        <v>22192</v>
      </c>
      <c r="AA45" s="10">
        <v>19196</v>
      </c>
      <c r="AB45" s="10">
        <v>17192</v>
      </c>
      <c r="AC45" s="10">
        <v>15221</v>
      </c>
      <c r="AD45" s="10">
        <v>13208</v>
      </c>
      <c r="AE45" s="10">
        <v>10203</v>
      </c>
      <c r="AF45" s="10">
        <v>8485</v>
      </c>
      <c r="AG45" s="10">
        <v>6988</v>
      </c>
      <c r="AH45" s="10">
        <v>5679</v>
      </c>
      <c r="AI45" s="10">
        <v>4037</v>
      </c>
      <c r="AJ45" s="10">
        <v>2738</v>
      </c>
      <c r="AK45" s="10">
        <v>1706</v>
      </c>
      <c r="AL45" s="10">
        <v>1065</v>
      </c>
      <c r="AM45" s="10">
        <v>793</v>
      </c>
      <c r="AN45" s="10">
        <v>552</v>
      </c>
      <c r="AO45" s="10">
        <v>347</v>
      </c>
      <c r="AP45" s="10">
        <v>286</v>
      </c>
      <c r="AQ45" s="10">
        <v>127686</v>
      </c>
      <c r="AR45" s="10">
        <v>21734</v>
      </c>
      <c r="AS45" s="10">
        <v>18908</v>
      </c>
      <c r="AT45" s="10">
        <v>17089</v>
      </c>
      <c r="AU45" s="10">
        <v>14906</v>
      </c>
      <c r="AV45" s="10">
        <v>12483</v>
      </c>
      <c r="AW45" s="10">
        <v>9935</v>
      </c>
      <c r="AX45" s="10">
        <v>8265</v>
      </c>
      <c r="AY45" s="10">
        <v>6758</v>
      </c>
      <c r="AZ45" s="10">
        <v>5363</v>
      </c>
      <c r="BA45" s="10">
        <v>3762</v>
      </c>
      <c r="BB45" s="10">
        <v>2524</v>
      </c>
      <c r="BC45" s="10">
        <v>1661</v>
      </c>
      <c r="BD45" s="10">
        <v>1443</v>
      </c>
      <c r="BE45" s="10">
        <v>1045</v>
      </c>
      <c r="BF45" s="10">
        <v>735</v>
      </c>
      <c r="BG45" s="10">
        <v>593</v>
      </c>
      <c r="BH45" s="10">
        <v>482</v>
      </c>
    </row>
    <row r="46" spans="1:60" ht="13.2" x14ac:dyDescent="0.25">
      <c r="A46" s="2" t="s">
        <v>3</v>
      </c>
      <c r="B46" s="2" t="s">
        <v>291</v>
      </c>
      <c r="C46" s="2" t="s">
        <v>199</v>
      </c>
      <c r="D46" s="2" t="s">
        <v>446</v>
      </c>
      <c r="E46" s="2" t="s">
        <v>208</v>
      </c>
      <c r="F46" s="2">
        <v>2020</v>
      </c>
      <c r="G46" s="10">
        <v>267642</v>
      </c>
      <c r="H46" s="10">
        <v>52677</v>
      </c>
      <c r="I46" s="10">
        <v>44711</v>
      </c>
      <c r="J46" s="10">
        <v>35863</v>
      </c>
      <c r="K46" s="10">
        <v>28356</v>
      </c>
      <c r="L46" s="10">
        <v>22702</v>
      </c>
      <c r="M46" s="10">
        <v>17843</v>
      </c>
      <c r="N46" s="10">
        <v>13580</v>
      </c>
      <c r="O46" s="10">
        <v>12452</v>
      </c>
      <c r="P46" s="10">
        <v>10715</v>
      </c>
      <c r="Q46" s="10">
        <v>8508</v>
      </c>
      <c r="R46" s="10">
        <v>5902</v>
      </c>
      <c r="S46" s="10">
        <v>4609</v>
      </c>
      <c r="T46" s="10">
        <v>3469</v>
      </c>
      <c r="U46" s="10">
        <v>2361</v>
      </c>
      <c r="V46" s="10">
        <v>1950</v>
      </c>
      <c r="W46" s="10">
        <v>1120</v>
      </c>
      <c r="X46" s="10">
        <v>824</v>
      </c>
      <c r="Y46" s="10">
        <v>134324</v>
      </c>
      <c r="Z46" s="10">
        <v>26720</v>
      </c>
      <c r="AA46" s="10">
        <v>22494</v>
      </c>
      <c r="AB46" s="10">
        <v>18327</v>
      </c>
      <c r="AC46" s="10">
        <v>14183</v>
      </c>
      <c r="AD46" s="10">
        <v>11405</v>
      </c>
      <c r="AE46" s="10">
        <v>8941</v>
      </c>
      <c r="AF46" s="10">
        <v>6797</v>
      </c>
      <c r="AG46" s="10">
        <v>5920</v>
      </c>
      <c r="AH46" s="10">
        <v>5350</v>
      </c>
      <c r="AI46" s="10">
        <v>4423</v>
      </c>
      <c r="AJ46" s="10">
        <v>3010</v>
      </c>
      <c r="AK46" s="10">
        <v>2305</v>
      </c>
      <c r="AL46" s="10">
        <v>1503</v>
      </c>
      <c r="AM46" s="10">
        <v>1095</v>
      </c>
      <c r="AN46" s="10">
        <v>889</v>
      </c>
      <c r="AO46" s="10">
        <v>577</v>
      </c>
      <c r="AP46" s="10">
        <v>385</v>
      </c>
      <c r="AQ46" s="10">
        <v>133318</v>
      </c>
      <c r="AR46" s="10">
        <v>25957</v>
      </c>
      <c r="AS46" s="10">
        <v>22217</v>
      </c>
      <c r="AT46" s="10">
        <v>17536</v>
      </c>
      <c r="AU46" s="10">
        <v>14173</v>
      </c>
      <c r="AV46" s="10">
        <v>11297</v>
      </c>
      <c r="AW46" s="10">
        <v>8902</v>
      </c>
      <c r="AX46" s="10">
        <v>6783</v>
      </c>
      <c r="AY46" s="10">
        <v>6532</v>
      </c>
      <c r="AZ46" s="10">
        <v>5365</v>
      </c>
      <c r="BA46" s="10">
        <v>4085</v>
      </c>
      <c r="BB46" s="10">
        <v>2892</v>
      </c>
      <c r="BC46" s="10">
        <v>2304</v>
      </c>
      <c r="BD46" s="10">
        <v>1966</v>
      </c>
      <c r="BE46" s="10">
        <v>1266</v>
      </c>
      <c r="BF46" s="10">
        <v>1061</v>
      </c>
      <c r="BG46" s="10">
        <v>543</v>
      </c>
      <c r="BH46" s="10">
        <v>439</v>
      </c>
    </row>
    <row r="47" spans="1:60" ht="13.2" x14ac:dyDescent="0.25">
      <c r="A47" s="2" t="s">
        <v>3</v>
      </c>
      <c r="B47" s="2" t="s">
        <v>291</v>
      </c>
      <c r="C47" s="2" t="s">
        <v>158</v>
      </c>
      <c r="D47" s="2" t="s">
        <v>363</v>
      </c>
      <c r="E47" s="2" t="s">
        <v>165</v>
      </c>
      <c r="F47" s="2">
        <v>2020</v>
      </c>
      <c r="G47" s="10">
        <v>63134</v>
      </c>
      <c r="H47" s="10">
        <v>12954</v>
      </c>
      <c r="I47" s="10">
        <v>11009</v>
      </c>
      <c r="J47" s="10">
        <v>8695</v>
      </c>
      <c r="K47" s="10">
        <v>6377</v>
      </c>
      <c r="L47" s="10">
        <v>4800</v>
      </c>
      <c r="M47" s="10">
        <v>4007</v>
      </c>
      <c r="N47" s="10">
        <v>3369</v>
      </c>
      <c r="O47" s="10">
        <v>3008</v>
      </c>
      <c r="P47" s="10">
        <v>2554</v>
      </c>
      <c r="Q47" s="10">
        <v>1886</v>
      </c>
      <c r="R47" s="10">
        <v>1401</v>
      </c>
      <c r="S47" s="10">
        <v>926</v>
      </c>
      <c r="T47" s="10">
        <v>875</v>
      </c>
      <c r="U47" s="10">
        <v>552</v>
      </c>
      <c r="V47" s="10">
        <v>424</v>
      </c>
      <c r="W47" s="10">
        <v>197</v>
      </c>
      <c r="X47" s="10">
        <v>100</v>
      </c>
      <c r="Y47" s="10">
        <v>31467</v>
      </c>
      <c r="Z47" s="10">
        <v>6484</v>
      </c>
      <c r="AA47" s="10">
        <v>5534</v>
      </c>
      <c r="AB47" s="10">
        <v>4397</v>
      </c>
      <c r="AC47" s="10">
        <v>3216</v>
      </c>
      <c r="AD47" s="10">
        <v>2252</v>
      </c>
      <c r="AE47" s="10">
        <v>2025</v>
      </c>
      <c r="AF47" s="10">
        <v>1651</v>
      </c>
      <c r="AG47" s="10">
        <v>1462</v>
      </c>
      <c r="AH47" s="10">
        <v>1294</v>
      </c>
      <c r="AI47" s="10">
        <v>965</v>
      </c>
      <c r="AJ47" s="10">
        <v>768</v>
      </c>
      <c r="AK47" s="10">
        <v>448</v>
      </c>
      <c r="AL47" s="10">
        <v>359</v>
      </c>
      <c r="AM47" s="10">
        <v>263</v>
      </c>
      <c r="AN47" s="10">
        <v>183</v>
      </c>
      <c r="AO47" s="10">
        <v>116</v>
      </c>
      <c r="AP47" s="10">
        <v>50</v>
      </c>
      <c r="AQ47" s="10">
        <v>31667</v>
      </c>
      <c r="AR47" s="10">
        <v>6470</v>
      </c>
      <c r="AS47" s="10">
        <v>5475</v>
      </c>
      <c r="AT47" s="10">
        <v>4298</v>
      </c>
      <c r="AU47" s="10">
        <v>3161</v>
      </c>
      <c r="AV47" s="10">
        <v>2548</v>
      </c>
      <c r="AW47" s="10">
        <v>1982</v>
      </c>
      <c r="AX47" s="10">
        <v>1718</v>
      </c>
      <c r="AY47" s="10">
        <v>1546</v>
      </c>
      <c r="AZ47" s="10">
        <v>1260</v>
      </c>
      <c r="BA47" s="10">
        <v>921</v>
      </c>
      <c r="BB47" s="10">
        <v>633</v>
      </c>
      <c r="BC47" s="10">
        <v>478</v>
      </c>
      <c r="BD47" s="10">
        <v>516</v>
      </c>
      <c r="BE47" s="10">
        <v>289</v>
      </c>
      <c r="BF47" s="10">
        <v>241</v>
      </c>
      <c r="BG47" s="10">
        <v>81</v>
      </c>
      <c r="BH47" s="10">
        <v>50</v>
      </c>
    </row>
    <row r="48" spans="1:60" ht="13.2" x14ac:dyDescent="0.25">
      <c r="A48" s="2" t="s">
        <v>3</v>
      </c>
      <c r="B48" s="2" t="s">
        <v>291</v>
      </c>
      <c r="C48" s="2" t="s">
        <v>96</v>
      </c>
      <c r="D48" s="2" t="s">
        <v>290</v>
      </c>
      <c r="E48" s="2" t="s">
        <v>105</v>
      </c>
      <c r="F48" s="2">
        <v>2020</v>
      </c>
      <c r="G48" s="10">
        <v>218327</v>
      </c>
      <c r="H48" s="10">
        <v>42032</v>
      </c>
      <c r="I48" s="10">
        <v>34826</v>
      </c>
      <c r="J48" s="10">
        <v>28675</v>
      </c>
      <c r="K48" s="10">
        <v>23103</v>
      </c>
      <c r="L48" s="10">
        <v>19461</v>
      </c>
      <c r="M48" s="10">
        <v>16366</v>
      </c>
      <c r="N48" s="10">
        <v>12843</v>
      </c>
      <c r="O48" s="10">
        <v>11018</v>
      </c>
      <c r="P48" s="10">
        <v>9168</v>
      </c>
      <c r="Q48" s="10">
        <v>6360</v>
      </c>
      <c r="R48" s="10">
        <v>4574</v>
      </c>
      <c r="S48" s="10">
        <v>3207</v>
      </c>
      <c r="T48" s="10">
        <v>2532</v>
      </c>
      <c r="U48" s="10">
        <v>1686</v>
      </c>
      <c r="V48" s="10">
        <v>1214</v>
      </c>
      <c r="W48" s="10">
        <v>776</v>
      </c>
      <c r="X48" s="10">
        <v>486</v>
      </c>
      <c r="Y48" s="10">
        <v>111013</v>
      </c>
      <c r="Z48" s="10">
        <v>21029</v>
      </c>
      <c r="AA48" s="10">
        <v>17602</v>
      </c>
      <c r="AB48" s="10">
        <v>14232</v>
      </c>
      <c r="AC48" s="10">
        <v>11370</v>
      </c>
      <c r="AD48" s="10">
        <v>9830</v>
      </c>
      <c r="AE48" s="10">
        <v>8478</v>
      </c>
      <c r="AF48" s="10">
        <v>6707</v>
      </c>
      <c r="AG48" s="10">
        <v>5802</v>
      </c>
      <c r="AH48" s="10">
        <v>4871</v>
      </c>
      <c r="AI48" s="10">
        <v>3483</v>
      </c>
      <c r="AJ48" s="10">
        <v>2599</v>
      </c>
      <c r="AK48" s="10">
        <v>1688</v>
      </c>
      <c r="AL48" s="10">
        <v>1179</v>
      </c>
      <c r="AM48" s="10">
        <v>882</v>
      </c>
      <c r="AN48" s="10">
        <v>666</v>
      </c>
      <c r="AO48" s="10">
        <v>375</v>
      </c>
      <c r="AP48" s="10">
        <v>220</v>
      </c>
      <c r="AQ48" s="10">
        <v>107314</v>
      </c>
      <c r="AR48" s="10">
        <v>21003</v>
      </c>
      <c r="AS48" s="10">
        <v>17224</v>
      </c>
      <c r="AT48" s="10">
        <v>14443</v>
      </c>
      <c r="AU48" s="10">
        <v>11733</v>
      </c>
      <c r="AV48" s="10">
        <v>9631</v>
      </c>
      <c r="AW48" s="10">
        <v>7888</v>
      </c>
      <c r="AX48" s="10">
        <v>6136</v>
      </c>
      <c r="AY48" s="10">
        <v>5216</v>
      </c>
      <c r="AZ48" s="10">
        <v>4297</v>
      </c>
      <c r="BA48" s="10">
        <v>2877</v>
      </c>
      <c r="BB48" s="10">
        <v>1975</v>
      </c>
      <c r="BC48" s="10">
        <v>1519</v>
      </c>
      <c r="BD48" s="10">
        <v>1353</v>
      </c>
      <c r="BE48" s="10">
        <v>804</v>
      </c>
      <c r="BF48" s="10">
        <v>548</v>
      </c>
      <c r="BG48" s="10">
        <v>401</v>
      </c>
      <c r="BH48" s="10">
        <v>266</v>
      </c>
    </row>
    <row r="49" spans="1:60" ht="13.2" x14ac:dyDescent="0.25">
      <c r="A49" s="2" t="s">
        <v>3</v>
      </c>
      <c r="B49" s="2" t="s">
        <v>291</v>
      </c>
      <c r="C49" s="2" t="s">
        <v>253</v>
      </c>
      <c r="D49" s="2" t="s">
        <v>498</v>
      </c>
      <c r="E49" s="2" t="s">
        <v>264</v>
      </c>
      <c r="F49" s="2">
        <v>2020</v>
      </c>
      <c r="G49" s="10">
        <v>194665</v>
      </c>
      <c r="H49" s="10">
        <v>34293</v>
      </c>
      <c r="I49" s="10">
        <v>28976</v>
      </c>
      <c r="J49" s="10">
        <v>24298</v>
      </c>
      <c r="K49" s="10">
        <v>20572</v>
      </c>
      <c r="L49" s="10">
        <v>17578</v>
      </c>
      <c r="M49" s="10">
        <v>14027</v>
      </c>
      <c r="N49" s="10">
        <v>11770</v>
      </c>
      <c r="O49" s="10">
        <v>9607</v>
      </c>
      <c r="P49" s="10">
        <v>8312</v>
      </c>
      <c r="Q49" s="10">
        <v>6214</v>
      </c>
      <c r="R49" s="10">
        <v>4835</v>
      </c>
      <c r="S49" s="10">
        <v>4128</v>
      </c>
      <c r="T49" s="10">
        <v>3116</v>
      </c>
      <c r="U49" s="10">
        <v>2251</v>
      </c>
      <c r="V49" s="10">
        <v>1990</v>
      </c>
      <c r="W49" s="10">
        <v>1283</v>
      </c>
      <c r="X49" s="10">
        <v>1415</v>
      </c>
      <c r="Y49" s="10">
        <v>94184</v>
      </c>
      <c r="Z49" s="10">
        <v>17340</v>
      </c>
      <c r="AA49" s="10">
        <v>14599</v>
      </c>
      <c r="AB49" s="10">
        <v>12370</v>
      </c>
      <c r="AC49" s="10">
        <v>10274</v>
      </c>
      <c r="AD49" s="10">
        <v>8557</v>
      </c>
      <c r="AE49" s="10">
        <v>6722</v>
      </c>
      <c r="AF49" s="10">
        <v>5544</v>
      </c>
      <c r="AG49" s="10">
        <v>4497</v>
      </c>
      <c r="AH49" s="10">
        <v>3874</v>
      </c>
      <c r="AI49" s="10">
        <v>2865</v>
      </c>
      <c r="AJ49" s="10">
        <v>2124</v>
      </c>
      <c r="AK49" s="10">
        <v>1656</v>
      </c>
      <c r="AL49" s="10">
        <v>1127</v>
      </c>
      <c r="AM49" s="10">
        <v>885</v>
      </c>
      <c r="AN49" s="10">
        <v>808</v>
      </c>
      <c r="AO49" s="10">
        <v>483</v>
      </c>
      <c r="AP49" s="10">
        <v>459</v>
      </c>
      <c r="AQ49" s="10">
        <v>100481</v>
      </c>
      <c r="AR49" s="10">
        <v>16953</v>
      </c>
      <c r="AS49" s="10">
        <v>14377</v>
      </c>
      <c r="AT49" s="10">
        <v>11928</v>
      </c>
      <c r="AU49" s="10">
        <v>10298</v>
      </c>
      <c r="AV49" s="10">
        <v>9021</v>
      </c>
      <c r="AW49" s="10">
        <v>7305</v>
      </c>
      <c r="AX49" s="10">
        <v>6226</v>
      </c>
      <c r="AY49" s="10">
        <v>5110</v>
      </c>
      <c r="AZ49" s="10">
        <v>4438</v>
      </c>
      <c r="BA49" s="10">
        <v>3349</v>
      </c>
      <c r="BB49" s="10">
        <v>2711</v>
      </c>
      <c r="BC49" s="10">
        <v>2472</v>
      </c>
      <c r="BD49" s="10">
        <v>1989</v>
      </c>
      <c r="BE49" s="10">
        <v>1366</v>
      </c>
      <c r="BF49" s="10">
        <v>1182</v>
      </c>
      <c r="BG49" s="10">
        <v>800</v>
      </c>
      <c r="BH49" s="10">
        <v>956</v>
      </c>
    </row>
    <row r="50" spans="1:60" ht="13.2" x14ac:dyDescent="0.25">
      <c r="A50" s="2" t="s">
        <v>3</v>
      </c>
      <c r="B50" s="2" t="s">
        <v>291</v>
      </c>
      <c r="C50" s="2" t="s">
        <v>231</v>
      </c>
      <c r="D50" s="2" t="s">
        <v>470</v>
      </c>
      <c r="E50" s="2" t="s">
        <v>247</v>
      </c>
      <c r="F50" s="2">
        <v>2020</v>
      </c>
      <c r="G50" s="10">
        <v>220636</v>
      </c>
      <c r="H50" s="10">
        <v>42633</v>
      </c>
      <c r="I50" s="10">
        <v>36238</v>
      </c>
      <c r="J50" s="10">
        <v>29741</v>
      </c>
      <c r="K50" s="10">
        <v>24742</v>
      </c>
      <c r="L50" s="10">
        <v>20152</v>
      </c>
      <c r="M50" s="10">
        <v>13925</v>
      </c>
      <c r="N50" s="10">
        <v>11965</v>
      </c>
      <c r="O50" s="10">
        <v>10083</v>
      </c>
      <c r="P50" s="10">
        <v>8617</v>
      </c>
      <c r="Q50" s="10">
        <v>6247</v>
      </c>
      <c r="R50" s="10">
        <v>4399</v>
      </c>
      <c r="S50" s="10">
        <v>3342</v>
      </c>
      <c r="T50" s="10">
        <v>2617</v>
      </c>
      <c r="U50" s="10">
        <v>1997</v>
      </c>
      <c r="V50" s="10">
        <v>1713</v>
      </c>
      <c r="W50" s="10">
        <v>1113</v>
      </c>
      <c r="X50" s="10">
        <v>1112</v>
      </c>
      <c r="Y50" s="10">
        <v>109392</v>
      </c>
      <c r="Z50" s="10">
        <v>21695</v>
      </c>
      <c r="AA50" s="10">
        <v>18381</v>
      </c>
      <c r="AB50" s="10">
        <v>15282</v>
      </c>
      <c r="AC50" s="10">
        <v>12839</v>
      </c>
      <c r="AD50" s="10">
        <v>10382</v>
      </c>
      <c r="AE50" s="10">
        <v>6747</v>
      </c>
      <c r="AF50" s="10">
        <v>5708</v>
      </c>
      <c r="AG50" s="10">
        <v>4722</v>
      </c>
      <c r="AH50" s="10">
        <v>3980</v>
      </c>
      <c r="AI50" s="10">
        <v>3067</v>
      </c>
      <c r="AJ50" s="10">
        <v>2030</v>
      </c>
      <c r="AK50" s="10">
        <v>1416</v>
      </c>
      <c r="AL50" s="10">
        <v>1041</v>
      </c>
      <c r="AM50" s="10">
        <v>776</v>
      </c>
      <c r="AN50" s="10">
        <v>612</v>
      </c>
      <c r="AO50" s="10">
        <v>382</v>
      </c>
      <c r="AP50" s="10">
        <v>332</v>
      </c>
      <c r="AQ50" s="10">
        <v>111244</v>
      </c>
      <c r="AR50" s="10">
        <v>20938</v>
      </c>
      <c r="AS50" s="10">
        <v>17857</v>
      </c>
      <c r="AT50" s="10">
        <v>14459</v>
      </c>
      <c r="AU50" s="10">
        <v>11903</v>
      </c>
      <c r="AV50" s="10">
        <v>9770</v>
      </c>
      <c r="AW50" s="10">
        <v>7178</v>
      </c>
      <c r="AX50" s="10">
        <v>6257</v>
      </c>
      <c r="AY50" s="10">
        <v>5361</v>
      </c>
      <c r="AZ50" s="10">
        <v>4637</v>
      </c>
      <c r="BA50" s="10">
        <v>3180</v>
      </c>
      <c r="BB50" s="10">
        <v>2369</v>
      </c>
      <c r="BC50" s="10">
        <v>1926</v>
      </c>
      <c r="BD50" s="10">
        <v>1576</v>
      </c>
      <c r="BE50" s="10">
        <v>1221</v>
      </c>
      <c r="BF50" s="10">
        <v>1101</v>
      </c>
      <c r="BG50" s="10">
        <v>731</v>
      </c>
      <c r="BH50" s="10">
        <v>780</v>
      </c>
    </row>
    <row r="51" spans="1:60" ht="13.2" x14ac:dyDescent="0.25">
      <c r="A51" s="2" t="s">
        <v>3</v>
      </c>
      <c r="B51" s="2" t="s">
        <v>291</v>
      </c>
      <c r="C51" s="2" t="s">
        <v>113</v>
      </c>
      <c r="D51" s="2" t="s">
        <v>404</v>
      </c>
      <c r="E51" s="2" t="s">
        <v>195</v>
      </c>
      <c r="F51" s="2">
        <v>2020</v>
      </c>
      <c r="G51" s="10">
        <v>288743</v>
      </c>
      <c r="H51" s="10">
        <v>54058</v>
      </c>
      <c r="I51" s="10">
        <v>46782</v>
      </c>
      <c r="J51" s="10">
        <v>38872</v>
      </c>
      <c r="K51" s="10">
        <v>30477</v>
      </c>
      <c r="L51" s="10">
        <v>24457</v>
      </c>
      <c r="M51" s="10">
        <v>19712</v>
      </c>
      <c r="N51" s="10">
        <v>15735</v>
      </c>
      <c r="O51" s="10">
        <v>14005</v>
      </c>
      <c r="P51" s="10">
        <v>11945</v>
      </c>
      <c r="Q51" s="10">
        <v>9201</v>
      </c>
      <c r="R51" s="10">
        <v>6712</v>
      </c>
      <c r="S51" s="10">
        <v>5023</v>
      </c>
      <c r="T51" s="10">
        <v>4261</v>
      </c>
      <c r="U51" s="10">
        <v>2899</v>
      </c>
      <c r="V51" s="10">
        <v>2277</v>
      </c>
      <c r="W51" s="10">
        <v>1353</v>
      </c>
      <c r="X51" s="10">
        <v>974</v>
      </c>
      <c r="Y51" s="10">
        <v>144165</v>
      </c>
      <c r="Z51" s="10">
        <v>27253</v>
      </c>
      <c r="AA51" s="10">
        <v>23709</v>
      </c>
      <c r="AB51" s="10">
        <v>19653</v>
      </c>
      <c r="AC51" s="10">
        <v>15263</v>
      </c>
      <c r="AD51" s="10">
        <v>11926</v>
      </c>
      <c r="AE51" s="10">
        <v>9527</v>
      </c>
      <c r="AF51" s="10">
        <v>7775</v>
      </c>
      <c r="AG51" s="10">
        <v>6938</v>
      </c>
      <c r="AH51" s="10">
        <v>6076</v>
      </c>
      <c r="AI51" s="10">
        <v>4689</v>
      </c>
      <c r="AJ51" s="10">
        <v>3500</v>
      </c>
      <c r="AK51" s="10">
        <v>2420</v>
      </c>
      <c r="AL51" s="10">
        <v>1957</v>
      </c>
      <c r="AM51" s="10">
        <v>1371</v>
      </c>
      <c r="AN51" s="10">
        <v>1077</v>
      </c>
      <c r="AO51" s="10">
        <v>605</v>
      </c>
      <c r="AP51" s="10">
        <v>426</v>
      </c>
      <c r="AQ51" s="10">
        <v>144578</v>
      </c>
      <c r="AR51" s="10">
        <v>26805</v>
      </c>
      <c r="AS51" s="10">
        <v>23073</v>
      </c>
      <c r="AT51" s="10">
        <v>19219</v>
      </c>
      <c r="AU51" s="10">
        <v>15214</v>
      </c>
      <c r="AV51" s="10">
        <v>12531</v>
      </c>
      <c r="AW51" s="10">
        <v>10185</v>
      </c>
      <c r="AX51" s="10">
        <v>7960</v>
      </c>
      <c r="AY51" s="10">
        <v>7067</v>
      </c>
      <c r="AZ51" s="10">
        <v>5869</v>
      </c>
      <c r="BA51" s="10">
        <v>4512</v>
      </c>
      <c r="BB51" s="10">
        <v>3212</v>
      </c>
      <c r="BC51" s="10">
        <v>2603</v>
      </c>
      <c r="BD51" s="10">
        <v>2304</v>
      </c>
      <c r="BE51" s="10">
        <v>1528</v>
      </c>
      <c r="BF51" s="10">
        <v>1200</v>
      </c>
      <c r="BG51" s="10">
        <v>748</v>
      </c>
      <c r="BH51" s="10">
        <v>548</v>
      </c>
    </row>
    <row r="52" spans="1:60" ht="13.2" x14ac:dyDescent="0.25">
      <c r="A52" s="2" t="s">
        <v>3</v>
      </c>
      <c r="B52" s="2" t="s">
        <v>291</v>
      </c>
      <c r="C52" s="2" t="s">
        <v>114</v>
      </c>
      <c r="D52" s="2" t="s">
        <v>313</v>
      </c>
      <c r="E52" s="2" t="s">
        <v>130</v>
      </c>
      <c r="F52" s="2">
        <v>2020</v>
      </c>
      <c r="G52" s="10">
        <v>131234</v>
      </c>
      <c r="H52" s="10">
        <v>24508</v>
      </c>
      <c r="I52" s="10">
        <v>21000</v>
      </c>
      <c r="J52" s="10">
        <v>17453</v>
      </c>
      <c r="K52" s="10">
        <v>14149</v>
      </c>
      <c r="L52" s="10">
        <v>10898</v>
      </c>
      <c r="M52" s="10">
        <v>8735</v>
      </c>
      <c r="N52" s="10">
        <v>7879</v>
      </c>
      <c r="O52" s="10">
        <v>6595</v>
      </c>
      <c r="P52" s="10">
        <v>5635</v>
      </c>
      <c r="Q52" s="10">
        <v>4051</v>
      </c>
      <c r="R52" s="10">
        <v>2883</v>
      </c>
      <c r="S52" s="10">
        <v>2233</v>
      </c>
      <c r="T52" s="10">
        <v>1839</v>
      </c>
      <c r="U52" s="10">
        <v>1326</v>
      </c>
      <c r="V52" s="10">
        <v>1026</v>
      </c>
      <c r="W52" s="10">
        <v>631</v>
      </c>
      <c r="X52" s="10">
        <v>393</v>
      </c>
      <c r="Y52" s="10">
        <v>66503</v>
      </c>
      <c r="Z52" s="10">
        <v>12482</v>
      </c>
      <c r="AA52" s="10">
        <v>10535</v>
      </c>
      <c r="AB52" s="10">
        <v>8907</v>
      </c>
      <c r="AC52" s="10">
        <v>7295</v>
      </c>
      <c r="AD52" s="10">
        <v>5478</v>
      </c>
      <c r="AE52" s="10">
        <v>4310</v>
      </c>
      <c r="AF52" s="10">
        <v>4036</v>
      </c>
      <c r="AG52" s="10">
        <v>3474</v>
      </c>
      <c r="AH52" s="10">
        <v>2931</v>
      </c>
      <c r="AI52" s="10">
        <v>2133</v>
      </c>
      <c r="AJ52" s="10">
        <v>1428</v>
      </c>
      <c r="AK52" s="10">
        <v>1042</v>
      </c>
      <c r="AL52" s="10">
        <v>821</v>
      </c>
      <c r="AM52" s="10">
        <v>643</v>
      </c>
      <c r="AN52" s="10">
        <v>520</v>
      </c>
      <c r="AO52" s="10">
        <v>302</v>
      </c>
      <c r="AP52" s="10">
        <v>166</v>
      </c>
      <c r="AQ52" s="10">
        <v>64731</v>
      </c>
      <c r="AR52" s="10">
        <v>12026</v>
      </c>
      <c r="AS52" s="10">
        <v>10465</v>
      </c>
      <c r="AT52" s="10">
        <v>8546</v>
      </c>
      <c r="AU52" s="10">
        <v>6854</v>
      </c>
      <c r="AV52" s="10">
        <v>5420</v>
      </c>
      <c r="AW52" s="10">
        <v>4425</v>
      </c>
      <c r="AX52" s="10">
        <v>3843</v>
      </c>
      <c r="AY52" s="10">
        <v>3121</v>
      </c>
      <c r="AZ52" s="10">
        <v>2704</v>
      </c>
      <c r="BA52" s="10">
        <v>1918</v>
      </c>
      <c r="BB52" s="10">
        <v>1455</v>
      </c>
      <c r="BC52" s="10">
        <v>1191</v>
      </c>
      <c r="BD52" s="10">
        <v>1018</v>
      </c>
      <c r="BE52" s="10">
        <v>683</v>
      </c>
      <c r="BF52" s="10">
        <v>506</v>
      </c>
      <c r="BG52" s="10">
        <v>329</v>
      </c>
      <c r="BH52" s="10">
        <v>227</v>
      </c>
    </row>
    <row r="53" spans="1:60" ht="13.2" x14ac:dyDescent="0.25">
      <c r="A53" s="2" t="s">
        <v>3</v>
      </c>
      <c r="B53" s="2" t="s">
        <v>291</v>
      </c>
      <c r="C53" s="2" t="s">
        <v>199</v>
      </c>
      <c r="D53" s="2" t="s">
        <v>446</v>
      </c>
      <c r="E53" s="2" t="s">
        <v>210</v>
      </c>
      <c r="F53" s="2">
        <v>2020</v>
      </c>
      <c r="G53" s="10">
        <v>128369</v>
      </c>
      <c r="H53" s="10">
        <v>24523</v>
      </c>
      <c r="I53" s="10">
        <v>21715</v>
      </c>
      <c r="J53" s="10">
        <v>17791</v>
      </c>
      <c r="K53" s="10">
        <v>12965</v>
      </c>
      <c r="L53" s="10">
        <v>10133</v>
      </c>
      <c r="M53" s="10">
        <v>8464</v>
      </c>
      <c r="N53" s="10">
        <v>6785</v>
      </c>
      <c r="O53" s="10">
        <v>5954</v>
      </c>
      <c r="P53" s="10">
        <v>5415</v>
      </c>
      <c r="Q53" s="10">
        <v>4080</v>
      </c>
      <c r="R53" s="10">
        <v>2878</v>
      </c>
      <c r="S53" s="10">
        <v>2128</v>
      </c>
      <c r="T53" s="10">
        <v>1843</v>
      </c>
      <c r="U53" s="10">
        <v>1492</v>
      </c>
      <c r="V53" s="10">
        <v>1036</v>
      </c>
      <c r="W53" s="10">
        <v>696</v>
      </c>
      <c r="X53" s="10">
        <v>471</v>
      </c>
      <c r="Y53" s="10">
        <v>64528</v>
      </c>
      <c r="Z53" s="10">
        <v>12385</v>
      </c>
      <c r="AA53" s="10">
        <v>10902</v>
      </c>
      <c r="AB53" s="10">
        <v>9204</v>
      </c>
      <c r="AC53" s="10">
        <v>6653</v>
      </c>
      <c r="AD53" s="10">
        <v>5051</v>
      </c>
      <c r="AE53" s="10">
        <v>4210</v>
      </c>
      <c r="AF53" s="10">
        <v>3347</v>
      </c>
      <c r="AG53" s="10">
        <v>2889</v>
      </c>
      <c r="AH53" s="10">
        <v>2710</v>
      </c>
      <c r="AI53" s="10">
        <v>2109</v>
      </c>
      <c r="AJ53" s="10">
        <v>1568</v>
      </c>
      <c r="AK53" s="10">
        <v>986</v>
      </c>
      <c r="AL53" s="10">
        <v>719</v>
      </c>
      <c r="AM53" s="10">
        <v>687</v>
      </c>
      <c r="AN53" s="10">
        <v>501</v>
      </c>
      <c r="AO53" s="10">
        <v>374</v>
      </c>
      <c r="AP53" s="10">
        <v>233</v>
      </c>
      <c r="AQ53" s="10">
        <v>63841</v>
      </c>
      <c r="AR53" s="10">
        <v>12138</v>
      </c>
      <c r="AS53" s="10">
        <v>10813</v>
      </c>
      <c r="AT53" s="10">
        <v>8587</v>
      </c>
      <c r="AU53" s="10">
        <v>6312</v>
      </c>
      <c r="AV53" s="10">
        <v>5082</v>
      </c>
      <c r="AW53" s="10">
        <v>4254</v>
      </c>
      <c r="AX53" s="10">
        <v>3438</v>
      </c>
      <c r="AY53" s="10">
        <v>3065</v>
      </c>
      <c r="AZ53" s="10">
        <v>2705</v>
      </c>
      <c r="BA53" s="10">
        <v>1971</v>
      </c>
      <c r="BB53" s="10">
        <v>1310</v>
      </c>
      <c r="BC53" s="10">
        <v>1142</v>
      </c>
      <c r="BD53" s="10">
        <v>1124</v>
      </c>
      <c r="BE53" s="10">
        <v>805</v>
      </c>
      <c r="BF53" s="10">
        <v>535</v>
      </c>
      <c r="BG53" s="10">
        <v>322</v>
      </c>
      <c r="BH53" s="10">
        <v>238</v>
      </c>
    </row>
    <row r="54" spans="1:60" ht="13.2" x14ac:dyDescent="0.25">
      <c r="A54" s="2" t="s">
        <v>3</v>
      </c>
      <c r="B54" s="2" t="s">
        <v>291</v>
      </c>
      <c r="C54" s="2" t="s">
        <v>199</v>
      </c>
      <c r="D54" s="2" t="s">
        <v>446</v>
      </c>
      <c r="E54" s="2" t="s">
        <v>212</v>
      </c>
      <c r="F54" s="2">
        <v>2020</v>
      </c>
      <c r="G54" s="10">
        <v>137841</v>
      </c>
      <c r="H54" s="10">
        <v>28370</v>
      </c>
      <c r="I54" s="10">
        <v>21972</v>
      </c>
      <c r="J54" s="10">
        <v>17210</v>
      </c>
      <c r="K54" s="10">
        <v>13766</v>
      </c>
      <c r="L54" s="10">
        <v>11897</v>
      </c>
      <c r="M54" s="10">
        <v>10363</v>
      </c>
      <c r="N54" s="10">
        <v>7992</v>
      </c>
      <c r="O54" s="10">
        <v>6791</v>
      </c>
      <c r="P54" s="10">
        <v>5810</v>
      </c>
      <c r="Q54" s="10">
        <v>4430</v>
      </c>
      <c r="R54" s="10">
        <v>2968</v>
      </c>
      <c r="S54" s="10">
        <v>2096</v>
      </c>
      <c r="T54" s="10">
        <v>1504</v>
      </c>
      <c r="U54" s="10">
        <v>1083</v>
      </c>
      <c r="V54" s="10">
        <v>763</v>
      </c>
      <c r="W54" s="10">
        <v>479</v>
      </c>
      <c r="X54" s="10">
        <v>347</v>
      </c>
      <c r="Y54" s="10">
        <v>69332</v>
      </c>
      <c r="Z54" s="10">
        <v>14359</v>
      </c>
      <c r="AA54" s="10">
        <v>10944</v>
      </c>
      <c r="AB54" s="10">
        <v>8817</v>
      </c>
      <c r="AC54" s="10">
        <v>6630</v>
      </c>
      <c r="AD54" s="10">
        <v>5860</v>
      </c>
      <c r="AE54" s="10">
        <v>5092</v>
      </c>
      <c r="AF54" s="10">
        <v>4146</v>
      </c>
      <c r="AG54" s="10">
        <v>3387</v>
      </c>
      <c r="AH54" s="10">
        <v>3085</v>
      </c>
      <c r="AI54" s="10">
        <v>2412</v>
      </c>
      <c r="AJ54" s="10">
        <v>1599</v>
      </c>
      <c r="AK54" s="10">
        <v>1072</v>
      </c>
      <c r="AL54" s="10">
        <v>660</v>
      </c>
      <c r="AM54" s="10">
        <v>487</v>
      </c>
      <c r="AN54" s="10">
        <v>389</v>
      </c>
      <c r="AO54" s="10">
        <v>234</v>
      </c>
      <c r="AP54" s="10">
        <v>159</v>
      </c>
      <c r="AQ54" s="10">
        <v>68509</v>
      </c>
      <c r="AR54" s="10">
        <v>14011</v>
      </c>
      <c r="AS54" s="10">
        <v>11028</v>
      </c>
      <c r="AT54" s="10">
        <v>8393</v>
      </c>
      <c r="AU54" s="10">
        <v>7136</v>
      </c>
      <c r="AV54" s="10">
        <v>6037</v>
      </c>
      <c r="AW54" s="10">
        <v>5271</v>
      </c>
      <c r="AX54" s="10">
        <v>3846</v>
      </c>
      <c r="AY54" s="10">
        <v>3404</v>
      </c>
      <c r="AZ54" s="10">
        <v>2725</v>
      </c>
      <c r="BA54" s="10">
        <v>2018</v>
      </c>
      <c r="BB54" s="10">
        <v>1369</v>
      </c>
      <c r="BC54" s="10">
        <v>1024</v>
      </c>
      <c r="BD54" s="10">
        <v>844</v>
      </c>
      <c r="BE54" s="10">
        <v>596</v>
      </c>
      <c r="BF54" s="10">
        <v>374</v>
      </c>
      <c r="BG54" s="10">
        <v>245</v>
      </c>
      <c r="BH54" s="10">
        <v>188</v>
      </c>
    </row>
    <row r="55" spans="1:60" ht="13.2" x14ac:dyDescent="0.25">
      <c r="A55" s="2" t="s">
        <v>3</v>
      </c>
      <c r="B55" s="2" t="s">
        <v>291</v>
      </c>
      <c r="C55" s="2" t="s">
        <v>114</v>
      </c>
      <c r="D55" s="2" t="s">
        <v>313</v>
      </c>
      <c r="E55" s="2" t="s">
        <v>131</v>
      </c>
      <c r="F55" s="2">
        <v>2020</v>
      </c>
      <c r="G55" s="10">
        <v>181563</v>
      </c>
      <c r="H55" s="10">
        <v>25797</v>
      </c>
      <c r="I55" s="10">
        <v>22903</v>
      </c>
      <c r="J55" s="10">
        <v>23330</v>
      </c>
      <c r="K55" s="10">
        <v>23131</v>
      </c>
      <c r="L55" s="10">
        <v>18019</v>
      </c>
      <c r="M55" s="10">
        <v>14732</v>
      </c>
      <c r="N55" s="10">
        <v>11694</v>
      </c>
      <c r="O55" s="10">
        <v>9430</v>
      </c>
      <c r="P55" s="10">
        <v>8572</v>
      </c>
      <c r="Q55" s="10">
        <v>7121</v>
      </c>
      <c r="R55" s="10">
        <v>5485</v>
      </c>
      <c r="S55" s="10">
        <v>4301</v>
      </c>
      <c r="T55" s="10">
        <v>2808</v>
      </c>
      <c r="U55" s="10">
        <v>1826</v>
      </c>
      <c r="V55" s="10">
        <v>1191</v>
      </c>
      <c r="W55" s="10">
        <v>729</v>
      </c>
      <c r="X55" s="10">
        <v>494</v>
      </c>
      <c r="Y55" s="10">
        <v>91822</v>
      </c>
      <c r="Z55" s="10">
        <v>13059</v>
      </c>
      <c r="AA55" s="10">
        <v>11622</v>
      </c>
      <c r="AB55" s="10">
        <v>11751</v>
      </c>
      <c r="AC55" s="10">
        <v>11530</v>
      </c>
      <c r="AD55" s="10">
        <v>9272</v>
      </c>
      <c r="AE55" s="10">
        <v>7631</v>
      </c>
      <c r="AF55" s="10">
        <v>6012</v>
      </c>
      <c r="AG55" s="10">
        <v>4708</v>
      </c>
      <c r="AH55" s="10">
        <v>4221</v>
      </c>
      <c r="AI55" s="10">
        <v>3502</v>
      </c>
      <c r="AJ55" s="10">
        <v>2820</v>
      </c>
      <c r="AK55" s="10">
        <v>2249</v>
      </c>
      <c r="AL55" s="10">
        <v>1401</v>
      </c>
      <c r="AM55" s="10">
        <v>970</v>
      </c>
      <c r="AN55" s="10">
        <v>567</v>
      </c>
      <c r="AO55" s="10">
        <v>321</v>
      </c>
      <c r="AP55" s="10">
        <v>186</v>
      </c>
      <c r="AQ55" s="10">
        <v>89741</v>
      </c>
      <c r="AR55" s="10">
        <v>12738</v>
      </c>
      <c r="AS55" s="10">
        <v>11281</v>
      </c>
      <c r="AT55" s="10">
        <v>11579</v>
      </c>
      <c r="AU55" s="10">
        <v>11601</v>
      </c>
      <c r="AV55" s="10">
        <v>8747</v>
      </c>
      <c r="AW55" s="10">
        <v>7101</v>
      </c>
      <c r="AX55" s="10">
        <v>5682</v>
      </c>
      <c r="AY55" s="10">
        <v>4722</v>
      </c>
      <c r="AZ55" s="10">
        <v>4351</v>
      </c>
      <c r="BA55" s="10">
        <v>3619</v>
      </c>
      <c r="BB55" s="10">
        <v>2665</v>
      </c>
      <c r="BC55" s="10">
        <v>2052</v>
      </c>
      <c r="BD55" s="10">
        <v>1407</v>
      </c>
      <c r="BE55" s="10">
        <v>856</v>
      </c>
      <c r="BF55" s="10">
        <v>624</v>
      </c>
      <c r="BG55" s="10">
        <v>408</v>
      </c>
      <c r="BH55" s="10">
        <v>308</v>
      </c>
    </row>
    <row r="56" spans="1:60" ht="13.2" x14ac:dyDescent="0.25">
      <c r="A56" s="2" t="s">
        <v>3</v>
      </c>
      <c r="B56" s="2" t="s">
        <v>291</v>
      </c>
      <c r="C56" s="2" t="s">
        <v>215</v>
      </c>
      <c r="D56" s="2" t="s">
        <v>422</v>
      </c>
      <c r="E56" s="2" t="s">
        <v>222</v>
      </c>
      <c r="F56" s="2">
        <v>2020</v>
      </c>
      <c r="G56" s="10">
        <v>74414</v>
      </c>
      <c r="H56" s="10">
        <v>15126</v>
      </c>
      <c r="I56" s="10">
        <v>12637</v>
      </c>
      <c r="J56" s="10">
        <v>10052</v>
      </c>
      <c r="K56" s="10">
        <v>8003</v>
      </c>
      <c r="L56" s="10">
        <v>5976</v>
      </c>
      <c r="M56" s="10">
        <v>4697</v>
      </c>
      <c r="N56" s="10">
        <v>4037</v>
      </c>
      <c r="O56" s="10">
        <v>3328</v>
      </c>
      <c r="P56" s="10">
        <v>3029</v>
      </c>
      <c r="Q56" s="10">
        <v>2161</v>
      </c>
      <c r="R56" s="10">
        <v>1443</v>
      </c>
      <c r="S56" s="10">
        <v>1120</v>
      </c>
      <c r="T56" s="10">
        <v>943</v>
      </c>
      <c r="U56" s="10">
        <v>689</v>
      </c>
      <c r="V56" s="10">
        <v>524</v>
      </c>
      <c r="W56" s="10">
        <v>361</v>
      </c>
      <c r="X56" s="10">
        <v>288</v>
      </c>
      <c r="Y56" s="10">
        <v>37089</v>
      </c>
      <c r="Z56" s="10">
        <v>7615</v>
      </c>
      <c r="AA56" s="10">
        <v>6361</v>
      </c>
      <c r="AB56" s="10">
        <v>5014</v>
      </c>
      <c r="AC56" s="10">
        <v>4132</v>
      </c>
      <c r="AD56" s="10">
        <v>3090</v>
      </c>
      <c r="AE56" s="10">
        <v>2281</v>
      </c>
      <c r="AF56" s="10">
        <v>1933</v>
      </c>
      <c r="AG56" s="10">
        <v>1565</v>
      </c>
      <c r="AH56" s="10">
        <v>1434</v>
      </c>
      <c r="AI56" s="10">
        <v>1110</v>
      </c>
      <c r="AJ56" s="10">
        <v>730</v>
      </c>
      <c r="AK56" s="10">
        <v>539</v>
      </c>
      <c r="AL56" s="10">
        <v>427</v>
      </c>
      <c r="AM56" s="10">
        <v>327</v>
      </c>
      <c r="AN56" s="10">
        <v>240</v>
      </c>
      <c r="AO56" s="10">
        <v>159</v>
      </c>
      <c r="AP56" s="10">
        <v>132</v>
      </c>
      <c r="AQ56" s="10">
        <v>37325</v>
      </c>
      <c r="AR56" s="10">
        <v>7511</v>
      </c>
      <c r="AS56" s="10">
        <v>6276</v>
      </c>
      <c r="AT56" s="10">
        <v>5038</v>
      </c>
      <c r="AU56" s="10">
        <v>3871</v>
      </c>
      <c r="AV56" s="10">
        <v>2886</v>
      </c>
      <c r="AW56" s="10">
        <v>2416</v>
      </c>
      <c r="AX56" s="10">
        <v>2104</v>
      </c>
      <c r="AY56" s="10">
        <v>1763</v>
      </c>
      <c r="AZ56" s="10">
        <v>1595</v>
      </c>
      <c r="BA56" s="10">
        <v>1051</v>
      </c>
      <c r="BB56" s="10">
        <v>713</v>
      </c>
      <c r="BC56" s="10">
        <v>581</v>
      </c>
      <c r="BD56" s="10">
        <v>516</v>
      </c>
      <c r="BE56" s="10">
        <v>362</v>
      </c>
      <c r="BF56" s="10">
        <v>284</v>
      </c>
      <c r="BG56" s="10">
        <v>202</v>
      </c>
      <c r="BH56" s="10">
        <v>156</v>
      </c>
    </row>
    <row r="57" spans="1:60" ht="13.2" x14ac:dyDescent="0.25">
      <c r="A57" s="2" t="s">
        <v>3</v>
      </c>
      <c r="B57" s="2" t="s">
        <v>291</v>
      </c>
      <c r="C57" s="2" t="s">
        <v>96</v>
      </c>
      <c r="D57" s="2" t="s">
        <v>290</v>
      </c>
      <c r="E57" s="2" t="s">
        <v>108</v>
      </c>
      <c r="F57" s="2">
        <v>2020</v>
      </c>
      <c r="G57" s="10">
        <v>312659</v>
      </c>
      <c r="H57" s="10">
        <v>58428</v>
      </c>
      <c r="I57" s="10">
        <v>51165</v>
      </c>
      <c r="J57" s="10">
        <v>42578</v>
      </c>
      <c r="K57" s="10">
        <v>34438</v>
      </c>
      <c r="L57" s="10">
        <v>27432</v>
      </c>
      <c r="M57" s="10">
        <v>20725</v>
      </c>
      <c r="N57" s="10">
        <v>17502</v>
      </c>
      <c r="O57" s="10">
        <v>14319</v>
      </c>
      <c r="P57" s="10">
        <v>12589</v>
      </c>
      <c r="Q57" s="10">
        <v>9181</v>
      </c>
      <c r="R57" s="10">
        <v>6887</v>
      </c>
      <c r="S57" s="10">
        <v>5273</v>
      </c>
      <c r="T57" s="10">
        <v>4145</v>
      </c>
      <c r="U57" s="10">
        <v>2963</v>
      </c>
      <c r="V57" s="10">
        <v>2142</v>
      </c>
      <c r="W57" s="10">
        <v>1544</v>
      </c>
      <c r="X57" s="10">
        <v>1348</v>
      </c>
      <c r="Y57" s="10">
        <v>157294</v>
      </c>
      <c r="Z57" s="10">
        <v>29481</v>
      </c>
      <c r="AA57" s="10">
        <v>25990</v>
      </c>
      <c r="AB57" s="10">
        <v>21615</v>
      </c>
      <c r="AC57" s="10">
        <v>17991</v>
      </c>
      <c r="AD57" s="10">
        <v>14361</v>
      </c>
      <c r="AE57" s="10">
        <v>10402</v>
      </c>
      <c r="AF57" s="10">
        <v>8546</v>
      </c>
      <c r="AG57" s="10">
        <v>6969</v>
      </c>
      <c r="AH57" s="10">
        <v>6136</v>
      </c>
      <c r="AI57" s="10">
        <v>4547</v>
      </c>
      <c r="AJ57" s="10">
        <v>3375</v>
      </c>
      <c r="AK57" s="10">
        <v>2493</v>
      </c>
      <c r="AL57" s="10">
        <v>1803</v>
      </c>
      <c r="AM57" s="10">
        <v>1403</v>
      </c>
      <c r="AN57" s="10">
        <v>1009</v>
      </c>
      <c r="AO57" s="10">
        <v>653</v>
      </c>
      <c r="AP57" s="10">
        <v>520</v>
      </c>
      <c r="AQ57" s="10">
        <v>155365</v>
      </c>
      <c r="AR57" s="10">
        <v>28947</v>
      </c>
      <c r="AS57" s="10">
        <v>25175</v>
      </c>
      <c r="AT57" s="10">
        <v>20963</v>
      </c>
      <c r="AU57" s="10">
        <v>16447</v>
      </c>
      <c r="AV57" s="10">
        <v>13071</v>
      </c>
      <c r="AW57" s="10">
        <v>10323</v>
      </c>
      <c r="AX57" s="10">
        <v>8956</v>
      </c>
      <c r="AY57" s="10">
        <v>7350</v>
      </c>
      <c r="AZ57" s="10">
        <v>6453</v>
      </c>
      <c r="BA57" s="10">
        <v>4634</v>
      </c>
      <c r="BB57" s="10">
        <v>3512</v>
      </c>
      <c r="BC57" s="10">
        <v>2780</v>
      </c>
      <c r="BD57" s="10">
        <v>2342</v>
      </c>
      <c r="BE57" s="10">
        <v>1560</v>
      </c>
      <c r="BF57" s="10">
        <v>1133</v>
      </c>
      <c r="BG57" s="10">
        <v>891</v>
      </c>
      <c r="BH57" s="10">
        <v>828</v>
      </c>
    </row>
    <row r="58" spans="1:60" ht="13.2" x14ac:dyDescent="0.25">
      <c r="A58" s="2" t="s">
        <v>3</v>
      </c>
      <c r="B58" s="2" t="s">
        <v>291</v>
      </c>
      <c r="C58" s="2" t="s">
        <v>199</v>
      </c>
      <c r="D58" s="2" t="s">
        <v>446</v>
      </c>
      <c r="E58" s="2" t="s">
        <v>213</v>
      </c>
      <c r="F58" s="2">
        <v>2020</v>
      </c>
      <c r="G58" s="10">
        <v>196108</v>
      </c>
      <c r="H58" s="10">
        <v>39729</v>
      </c>
      <c r="I58" s="10">
        <v>32476</v>
      </c>
      <c r="J58" s="10">
        <v>25485</v>
      </c>
      <c r="K58" s="10">
        <v>18931</v>
      </c>
      <c r="L58" s="10">
        <v>15528</v>
      </c>
      <c r="M58" s="10">
        <v>12890</v>
      </c>
      <c r="N58" s="10">
        <v>10068</v>
      </c>
      <c r="O58" s="10">
        <v>9016</v>
      </c>
      <c r="P58" s="10">
        <v>8057</v>
      </c>
      <c r="Q58" s="10">
        <v>6666</v>
      </c>
      <c r="R58" s="10">
        <v>4767</v>
      </c>
      <c r="S58" s="10">
        <v>3422</v>
      </c>
      <c r="T58" s="10">
        <v>2980</v>
      </c>
      <c r="U58" s="10">
        <v>2359</v>
      </c>
      <c r="V58" s="10">
        <v>1717</v>
      </c>
      <c r="W58" s="10">
        <v>1149</v>
      </c>
      <c r="X58" s="10">
        <v>868</v>
      </c>
      <c r="Y58" s="10">
        <v>98073</v>
      </c>
      <c r="Z58" s="10">
        <v>20107</v>
      </c>
      <c r="AA58" s="10">
        <v>16528</v>
      </c>
      <c r="AB58" s="10">
        <v>13175</v>
      </c>
      <c r="AC58" s="10">
        <v>9537</v>
      </c>
      <c r="AD58" s="10">
        <v>7453</v>
      </c>
      <c r="AE58" s="10">
        <v>6436</v>
      </c>
      <c r="AF58" s="10">
        <v>5027</v>
      </c>
      <c r="AG58" s="10">
        <v>4374</v>
      </c>
      <c r="AH58" s="10">
        <v>3985</v>
      </c>
      <c r="AI58" s="10">
        <v>3390</v>
      </c>
      <c r="AJ58" s="10">
        <v>2373</v>
      </c>
      <c r="AK58" s="10">
        <v>1565</v>
      </c>
      <c r="AL58" s="10">
        <v>1320</v>
      </c>
      <c r="AM58" s="10">
        <v>1094</v>
      </c>
      <c r="AN58" s="10">
        <v>812</v>
      </c>
      <c r="AO58" s="10">
        <v>549</v>
      </c>
      <c r="AP58" s="10">
        <v>348</v>
      </c>
      <c r="AQ58" s="10">
        <v>98035</v>
      </c>
      <c r="AR58" s="10">
        <v>19622</v>
      </c>
      <c r="AS58" s="10">
        <v>15948</v>
      </c>
      <c r="AT58" s="10">
        <v>12310</v>
      </c>
      <c r="AU58" s="10">
        <v>9394</v>
      </c>
      <c r="AV58" s="10">
        <v>8075</v>
      </c>
      <c r="AW58" s="10">
        <v>6454</v>
      </c>
      <c r="AX58" s="10">
        <v>5041</v>
      </c>
      <c r="AY58" s="10">
        <v>4642</v>
      </c>
      <c r="AZ58" s="10">
        <v>4072</v>
      </c>
      <c r="BA58" s="10">
        <v>3276</v>
      </c>
      <c r="BB58" s="10">
        <v>2394</v>
      </c>
      <c r="BC58" s="10">
        <v>1857</v>
      </c>
      <c r="BD58" s="10">
        <v>1660</v>
      </c>
      <c r="BE58" s="10">
        <v>1265</v>
      </c>
      <c r="BF58" s="10">
        <v>905</v>
      </c>
      <c r="BG58" s="10">
        <v>600</v>
      </c>
      <c r="BH58" s="10">
        <v>520</v>
      </c>
    </row>
    <row r="59" spans="1:60" ht="13.2" x14ac:dyDescent="0.25">
      <c r="A59" s="2" t="s">
        <v>3</v>
      </c>
      <c r="B59" s="2" t="s">
        <v>291</v>
      </c>
      <c r="C59" s="2" t="s">
        <v>158</v>
      </c>
      <c r="D59" s="2" t="s">
        <v>363</v>
      </c>
      <c r="E59" s="2" t="s">
        <v>167</v>
      </c>
      <c r="F59" s="2">
        <v>2020</v>
      </c>
      <c r="G59" s="10">
        <v>136379</v>
      </c>
      <c r="H59" s="10">
        <v>25165</v>
      </c>
      <c r="I59" s="10">
        <v>21982</v>
      </c>
      <c r="J59" s="10">
        <v>18124</v>
      </c>
      <c r="K59" s="10">
        <v>14153</v>
      </c>
      <c r="L59" s="10">
        <v>10782</v>
      </c>
      <c r="M59" s="10">
        <v>8794</v>
      </c>
      <c r="N59" s="10">
        <v>7439</v>
      </c>
      <c r="O59" s="10">
        <v>6611</v>
      </c>
      <c r="P59" s="10">
        <v>6318</v>
      </c>
      <c r="Q59" s="10">
        <v>4821</v>
      </c>
      <c r="R59" s="10">
        <v>3637</v>
      </c>
      <c r="S59" s="10">
        <v>2743</v>
      </c>
      <c r="T59" s="10">
        <v>2276</v>
      </c>
      <c r="U59" s="10">
        <v>1414</v>
      </c>
      <c r="V59" s="10">
        <v>1115</v>
      </c>
      <c r="W59" s="10">
        <v>613</v>
      </c>
      <c r="X59" s="10">
        <v>392</v>
      </c>
      <c r="Y59" s="10">
        <v>67646</v>
      </c>
      <c r="Z59" s="10">
        <v>12755</v>
      </c>
      <c r="AA59" s="10">
        <v>11173</v>
      </c>
      <c r="AB59" s="10">
        <v>9279</v>
      </c>
      <c r="AC59" s="10">
        <v>7144</v>
      </c>
      <c r="AD59" s="10">
        <v>5215</v>
      </c>
      <c r="AE59" s="10">
        <v>4128</v>
      </c>
      <c r="AF59" s="10">
        <v>3535</v>
      </c>
      <c r="AG59" s="10">
        <v>3063</v>
      </c>
      <c r="AH59" s="10">
        <v>3105</v>
      </c>
      <c r="AI59" s="10">
        <v>2489</v>
      </c>
      <c r="AJ59" s="10">
        <v>1882</v>
      </c>
      <c r="AK59" s="10">
        <v>1291</v>
      </c>
      <c r="AL59" s="10">
        <v>933</v>
      </c>
      <c r="AM59" s="10">
        <v>684</v>
      </c>
      <c r="AN59" s="10">
        <v>533</v>
      </c>
      <c r="AO59" s="10">
        <v>263</v>
      </c>
      <c r="AP59" s="10">
        <v>174</v>
      </c>
      <c r="AQ59" s="10">
        <v>68733</v>
      </c>
      <c r="AR59" s="10">
        <v>12410</v>
      </c>
      <c r="AS59" s="10">
        <v>10809</v>
      </c>
      <c r="AT59" s="10">
        <v>8845</v>
      </c>
      <c r="AU59" s="10">
        <v>7009</v>
      </c>
      <c r="AV59" s="10">
        <v>5567</v>
      </c>
      <c r="AW59" s="10">
        <v>4666</v>
      </c>
      <c r="AX59" s="10">
        <v>3904</v>
      </c>
      <c r="AY59" s="10">
        <v>3548</v>
      </c>
      <c r="AZ59" s="10">
        <v>3213</v>
      </c>
      <c r="BA59" s="10">
        <v>2332</v>
      </c>
      <c r="BB59" s="10">
        <v>1755</v>
      </c>
      <c r="BC59" s="10">
        <v>1452</v>
      </c>
      <c r="BD59" s="10">
        <v>1343</v>
      </c>
      <c r="BE59" s="10">
        <v>730</v>
      </c>
      <c r="BF59" s="10">
        <v>582</v>
      </c>
      <c r="BG59" s="10">
        <v>350</v>
      </c>
      <c r="BH59" s="10">
        <v>218</v>
      </c>
    </row>
    <row r="60" spans="1:60" ht="13.2" x14ac:dyDescent="0.25">
      <c r="A60" s="2" t="s">
        <v>3</v>
      </c>
      <c r="B60" s="2" t="s">
        <v>291</v>
      </c>
      <c r="C60" s="2" t="s">
        <v>215</v>
      </c>
      <c r="D60" s="2" t="s">
        <v>422</v>
      </c>
      <c r="E60" s="2" t="s">
        <v>223</v>
      </c>
      <c r="F60" s="2">
        <v>2020</v>
      </c>
      <c r="G60" s="10">
        <v>123143</v>
      </c>
      <c r="H60" s="10">
        <v>25010</v>
      </c>
      <c r="I60" s="10">
        <v>20633</v>
      </c>
      <c r="J60" s="10">
        <v>16864</v>
      </c>
      <c r="K60" s="10">
        <v>13227</v>
      </c>
      <c r="L60" s="10">
        <v>9968</v>
      </c>
      <c r="M60" s="10">
        <v>8034</v>
      </c>
      <c r="N60" s="10">
        <v>6090</v>
      </c>
      <c r="O60" s="10">
        <v>5433</v>
      </c>
      <c r="P60" s="10">
        <v>4776</v>
      </c>
      <c r="Q60" s="10">
        <v>3679</v>
      </c>
      <c r="R60" s="10">
        <v>2650</v>
      </c>
      <c r="S60" s="10">
        <v>2011</v>
      </c>
      <c r="T60" s="10">
        <v>1680</v>
      </c>
      <c r="U60" s="10">
        <v>1087</v>
      </c>
      <c r="V60" s="10">
        <v>968</v>
      </c>
      <c r="W60" s="10">
        <v>599</v>
      </c>
      <c r="X60" s="10">
        <v>434</v>
      </c>
      <c r="Y60" s="10">
        <v>61229</v>
      </c>
      <c r="Z60" s="10">
        <v>12660</v>
      </c>
      <c r="AA60" s="10">
        <v>10309</v>
      </c>
      <c r="AB60" s="10">
        <v>8677</v>
      </c>
      <c r="AC60" s="10">
        <v>6871</v>
      </c>
      <c r="AD60" s="10">
        <v>5142</v>
      </c>
      <c r="AE60" s="10">
        <v>3796</v>
      </c>
      <c r="AF60" s="10">
        <v>2908</v>
      </c>
      <c r="AG60" s="10">
        <v>2537</v>
      </c>
      <c r="AH60" s="10">
        <v>2256</v>
      </c>
      <c r="AI60" s="10">
        <v>1823</v>
      </c>
      <c r="AJ60" s="10">
        <v>1320</v>
      </c>
      <c r="AK60" s="10">
        <v>884</v>
      </c>
      <c r="AL60" s="10">
        <v>718</v>
      </c>
      <c r="AM60" s="10">
        <v>491</v>
      </c>
      <c r="AN60" s="10">
        <v>418</v>
      </c>
      <c r="AO60" s="10">
        <v>241</v>
      </c>
      <c r="AP60" s="10">
        <v>178</v>
      </c>
      <c r="AQ60" s="10">
        <v>61914</v>
      </c>
      <c r="AR60" s="10">
        <v>12350</v>
      </c>
      <c r="AS60" s="10">
        <v>10324</v>
      </c>
      <c r="AT60" s="10">
        <v>8187</v>
      </c>
      <c r="AU60" s="10">
        <v>6356</v>
      </c>
      <c r="AV60" s="10">
        <v>4826</v>
      </c>
      <c r="AW60" s="10">
        <v>4238</v>
      </c>
      <c r="AX60" s="10">
        <v>3182</v>
      </c>
      <c r="AY60" s="10">
        <v>2896</v>
      </c>
      <c r="AZ60" s="10">
        <v>2520</v>
      </c>
      <c r="BA60" s="10">
        <v>1856</v>
      </c>
      <c r="BB60" s="10">
        <v>1330</v>
      </c>
      <c r="BC60" s="10">
        <v>1127</v>
      </c>
      <c r="BD60" s="10">
        <v>962</v>
      </c>
      <c r="BE60" s="10">
        <v>596</v>
      </c>
      <c r="BF60" s="10">
        <v>550</v>
      </c>
      <c r="BG60" s="10">
        <v>358</v>
      </c>
      <c r="BH60" s="10">
        <v>256</v>
      </c>
    </row>
    <row r="61" spans="1:60" ht="13.2" x14ac:dyDescent="0.25">
      <c r="A61" s="2" t="s">
        <v>3</v>
      </c>
      <c r="B61" s="2" t="s">
        <v>291</v>
      </c>
      <c r="C61" s="2" t="s">
        <v>113</v>
      </c>
      <c r="D61" s="2" t="s">
        <v>404</v>
      </c>
      <c r="E61" s="2" t="s">
        <v>198</v>
      </c>
      <c r="F61" s="2">
        <v>2020</v>
      </c>
      <c r="G61" s="10">
        <v>184259</v>
      </c>
      <c r="H61" s="10">
        <v>35944</v>
      </c>
      <c r="I61" s="10">
        <v>30132</v>
      </c>
      <c r="J61" s="10">
        <v>22752</v>
      </c>
      <c r="K61" s="10">
        <v>18864</v>
      </c>
      <c r="L61" s="10">
        <v>16866</v>
      </c>
      <c r="M61" s="10">
        <v>14240</v>
      </c>
      <c r="N61" s="10">
        <v>10512</v>
      </c>
      <c r="O61" s="10">
        <v>9122</v>
      </c>
      <c r="P61" s="10">
        <v>7307</v>
      </c>
      <c r="Q61" s="10">
        <v>5366</v>
      </c>
      <c r="R61" s="10">
        <v>3783</v>
      </c>
      <c r="S61" s="10">
        <v>2866</v>
      </c>
      <c r="T61" s="10">
        <v>2389</v>
      </c>
      <c r="U61" s="10">
        <v>1599</v>
      </c>
      <c r="V61" s="10">
        <v>1202</v>
      </c>
      <c r="W61" s="10">
        <v>755</v>
      </c>
      <c r="X61" s="10">
        <v>560</v>
      </c>
      <c r="Y61" s="10">
        <v>91851</v>
      </c>
      <c r="Z61" s="10">
        <v>17973</v>
      </c>
      <c r="AA61" s="10">
        <v>15092</v>
      </c>
      <c r="AB61" s="10">
        <v>11516</v>
      </c>
      <c r="AC61" s="10">
        <v>9218</v>
      </c>
      <c r="AD61" s="10">
        <v>8184</v>
      </c>
      <c r="AE61" s="10">
        <v>7227</v>
      </c>
      <c r="AF61" s="10">
        <v>5322</v>
      </c>
      <c r="AG61" s="10">
        <v>4618</v>
      </c>
      <c r="AH61" s="10">
        <v>3670</v>
      </c>
      <c r="AI61" s="10">
        <v>2783</v>
      </c>
      <c r="AJ61" s="10">
        <v>1934</v>
      </c>
      <c r="AK61" s="10">
        <v>1384</v>
      </c>
      <c r="AL61" s="10">
        <v>1055</v>
      </c>
      <c r="AM61" s="10">
        <v>745</v>
      </c>
      <c r="AN61" s="10">
        <v>588</v>
      </c>
      <c r="AO61" s="10">
        <v>338</v>
      </c>
      <c r="AP61" s="10">
        <v>204</v>
      </c>
      <c r="AQ61" s="10">
        <v>92408</v>
      </c>
      <c r="AR61" s="10">
        <v>17971</v>
      </c>
      <c r="AS61" s="10">
        <v>15040</v>
      </c>
      <c r="AT61" s="10">
        <v>11236</v>
      </c>
      <c r="AU61" s="10">
        <v>9646</v>
      </c>
      <c r="AV61" s="10">
        <v>8682</v>
      </c>
      <c r="AW61" s="10">
        <v>7013</v>
      </c>
      <c r="AX61" s="10">
        <v>5190</v>
      </c>
      <c r="AY61" s="10">
        <v>4504</v>
      </c>
      <c r="AZ61" s="10">
        <v>3637</v>
      </c>
      <c r="BA61" s="10">
        <v>2583</v>
      </c>
      <c r="BB61" s="10">
        <v>1849</v>
      </c>
      <c r="BC61" s="10">
        <v>1482</v>
      </c>
      <c r="BD61" s="10">
        <v>1334</v>
      </c>
      <c r="BE61" s="10">
        <v>854</v>
      </c>
      <c r="BF61" s="10">
        <v>614</v>
      </c>
      <c r="BG61" s="10">
        <v>417</v>
      </c>
      <c r="BH61" s="10">
        <v>356</v>
      </c>
    </row>
    <row r="62" spans="1:60" ht="13.2" x14ac:dyDescent="0.25">
      <c r="A62" s="2" t="s">
        <v>3</v>
      </c>
      <c r="B62" s="2" t="s">
        <v>291</v>
      </c>
      <c r="C62" s="2" t="s">
        <v>231</v>
      </c>
      <c r="D62" s="2" t="s">
        <v>470</v>
      </c>
      <c r="E62" s="2" t="s">
        <v>250</v>
      </c>
      <c r="F62" s="2">
        <v>2020</v>
      </c>
      <c r="G62" s="10">
        <v>124306</v>
      </c>
      <c r="H62" s="10">
        <v>26304</v>
      </c>
      <c r="I62" s="10">
        <v>21112</v>
      </c>
      <c r="J62" s="10">
        <v>16467</v>
      </c>
      <c r="K62" s="10">
        <v>12963</v>
      </c>
      <c r="L62" s="10">
        <v>11242</v>
      </c>
      <c r="M62" s="10">
        <v>8135</v>
      </c>
      <c r="N62" s="10">
        <v>6788</v>
      </c>
      <c r="O62" s="10">
        <v>5513</v>
      </c>
      <c r="P62" s="10">
        <v>4680</v>
      </c>
      <c r="Q62" s="10">
        <v>3147</v>
      </c>
      <c r="R62" s="10">
        <v>2347</v>
      </c>
      <c r="S62" s="10">
        <v>1649</v>
      </c>
      <c r="T62" s="10">
        <v>1299</v>
      </c>
      <c r="U62" s="10">
        <v>877</v>
      </c>
      <c r="V62" s="10">
        <v>759</v>
      </c>
      <c r="W62" s="10">
        <v>563</v>
      </c>
      <c r="X62" s="10">
        <v>461</v>
      </c>
      <c r="Y62" s="10">
        <v>61335</v>
      </c>
      <c r="Z62" s="10">
        <v>13298</v>
      </c>
      <c r="AA62" s="10">
        <v>10549</v>
      </c>
      <c r="AB62" s="10">
        <v>8344</v>
      </c>
      <c r="AC62" s="10">
        <v>6596</v>
      </c>
      <c r="AD62" s="10">
        <v>5819</v>
      </c>
      <c r="AE62" s="10">
        <v>3955</v>
      </c>
      <c r="AF62" s="10">
        <v>3146</v>
      </c>
      <c r="AG62" s="10">
        <v>2568</v>
      </c>
      <c r="AH62" s="10">
        <v>2105</v>
      </c>
      <c r="AI62" s="10">
        <v>1496</v>
      </c>
      <c r="AJ62" s="10">
        <v>1089</v>
      </c>
      <c r="AK62" s="10">
        <v>708</v>
      </c>
      <c r="AL62" s="10">
        <v>531</v>
      </c>
      <c r="AM62" s="10">
        <v>383</v>
      </c>
      <c r="AN62" s="10">
        <v>320</v>
      </c>
      <c r="AO62" s="10">
        <v>261</v>
      </c>
      <c r="AP62" s="10">
        <v>167</v>
      </c>
      <c r="AQ62" s="10">
        <v>62971</v>
      </c>
      <c r="AR62" s="10">
        <v>13006</v>
      </c>
      <c r="AS62" s="10">
        <v>10563</v>
      </c>
      <c r="AT62" s="10">
        <v>8123</v>
      </c>
      <c r="AU62" s="10">
        <v>6367</v>
      </c>
      <c r="AV62" s="10">
        <v>5423</v>
      </c>
      <c r="AW62" s="10">
        <v>4180</v>
      </c>
      <c r="AX62" s="10">
        <v>3642</v>
      </c>
      <c r="AY62" s="10">
        <v>2945</v>
      </c>
      <c r="AZ62" s="10">
        <v>2575</v>
      </c>
      <c r="BA62" s="10">
        <v>1651</v>
      </c>
      <c r="BB62" s="10">
        <v>1258</v>
      </c>
      <c r="BC62" s="10">
        <v>941</v>
      </c>
      <c r="BD62" s="10">
        <v>768</v>
      </c>
      <c r="BE62" s="10">
        <v>494</v>
      </c>
      <c r="BF62" s="10">
        <v>439</v>
      </c>
      <c r="BG62" s="10">
        <v>302</v>
      </c>
      <c r="BH62" s="10">
        <v>294</v>
      </c>
    </row>
    <row r="63" spans="1:60" ht="13.2" x14ac:dyDescent="0.25">
      <c r="A63" s="2" t="s">
        <v>3</v>
      </c>
      <c r="B63" s="2" t="s">
        <v>291</v>
      </c>
      <c r="C63" s="2" t="s">
        <v>158</v>
      </c>
      <c r="D63" s="2" t="s">
        <v>363</v>
      </c>
      <c r="E63" s="2" t="s">
        <v>170</v>
      </c>
      <c r="F63" s="2">
        <v>2020</v>
      </c>
      <c r="G63" s="10">
        <v>203872</v>
      </c>
      <c r="H63" s="10">
        <v>38409</v>
      </c>
      <c r="I63" s="10">
        <v>32372</v>
      </c>
      <c r="J63" s="10">
        <v>27008</v>
      </c>
      <c r="K63" s="10">
        <v>20211</v>
      </c>
      <c r="L63" s="10">
        <v>16593</v>
      </c>
      <c r="M63" s="10">
        <v>14778</v>
      </c>
      <c r="N63" s="10">
        <v>12500</v>
      </c>
      <c r="O63" s="10">
        <v>10841</v>
      </c>
      <c r="P63" s="10">
        <v>9262</v>
      </c>
      <c r="Q63" s="10">
        <v>6844</v>
      </c>
      <c r="R63" s="10">
        <v>4794</v>
      </c>
      <c r="S63" s="10">
        <v>3670</v>
      </c>
      <c r="T63" s="10">
        <v>2688</v>
      </c>
      <c r="U63" s="10">
        <v>1642</v>
      </c>
      <c r="V63" s="10">
        <v>1166</v>
      </c>
      <c r="W63" s="10">
        <v>657</v>
      </c>
      <c r="X63" s="10">
        <v>437</v>
      </c>
      <c r="Y63" s="10">
        <v>102807</v>
      </c>
      <c r="Z63" s="10">
        <v>19185</v>
      </c>
      <c r="AA63" s="10">
        <v>16315</v>
      </c>
      <c r="AB63" s="10">
        <v>13890</v>
      </c>
      <c r="AC63" s="10">
        <v>10260</v>
      </c>
      <c r="AD63" s="10">
        <v>8193</v>
      </c>
      <c r="AE63" s="10">
        <v>7175</v>
      </c>
      <c r="AF63" s="10">
        <v>6323</v>
      </c>
      <c r="AG63" s="10">
        <v>5565</v>
      </c>
      <c r="AH63" s="10">
        <v>4845</v>
      </c>
      <c r="AI63" s="10">
        <v>3652</v>
      </c>
      <c r="AJ63" s="10">
        <v>2566</v>
      </c>
      <c r="AK63" s="10">
        <v>1690</v>
      </c>
      <c r="AL63" s="10">
        <v>1271</v>
      </c>
      <c r="AM63" s="10">
        <v>807</v>
      </c>
      <c r="AN63" s="10">
        <v>562</v>
      </c>
      <c r="AO63" s="10">
        <v>319</v>
      </c>
      <c r="AP63" s="10">
        <v>189</v>
      </c>
      <c r="AQ63" s="10">
        <v>101065</v>
      </c>
      <c r="AR63" s="10">
        <v>19224</v>
      </c>
      <c r="AS63" s="10">
        <v>16057</v>
      </c>
      <c r="AT63" s="10">
        <v>13118</v>
      </c>
      <c r="AU63" s="10">
        <v>9951</v>
      </c>
      <c r="AV63" s="10">
        <v>8400</v>
      </c>
      <c r="AW63" s="10">
        <v>7603</v>
      </c>
      <c r="AX63" s="10">
        <v>6177</v>
      </c>
      <c r="AY63" s="10">
        <v>5276</v>
      </c>
      <c r="AZ63" s="10">
        <v>4417</v>
      </c>
      <c r="BA63" s="10">
        <v>3192</v>
      </c>
      <c r="BB63" s="10">
        <v>2228</v>
      </c>
      <c r="BC63" s="10">
        <v>1980</v>
      </c>
      <c r="BD63" s="10">
        <v>1417</v>
      </c>
      <c r="BE63" s="10">
        <v>835</v>
      </c>
      <c r="BF63" s="10">
        <v>604</v>
      </c>
      <c r="BG63" s="10">
        <v>338</v>
      </c>
      <c r="BH63" s="10">
        <v>248</v>
      </c>
    </row>
    <row r="64" spans="1:60" ht="13.2" x14ac:dyDescent="0.25">
      <c r="A64" s="2" t="s">
        <v>3</v>
      </c>
      <c r="B64" s="2" t="s">
        <v>291</v>
      </c>
      <c r="C64" s="2" t="s">
        <v>114</v>
      </c>
      <c r="D64" s="2" t="s">
        <v>313</v>
      </c>
      <c r="E64" s="2" t="s">
        <v>134</v>
      </c>
      <c r="F64" s="2">
        <v>2020</v>
      </c>
      <c r="G64" s="10">
        <v>530408</v>
      </c>
      <c r="H64" s="10">
        <v>77548</v>
      </c>
      <c r="I64" s="10">
        <v>68743</v>
      </c>
      <c r="J64" s="10">
        <v>68190</v>
      </c>
      <c r="K64" s="10">
        <v>64072</v>
      </c>
      <c r="L64" s="10">
        <v>52943</v>
      </c>
      <c r="M64" s="10">
        <v>44128</v>
      </c>
      <c r="N64" s="10">
        <v>36387</v>
      </c>
      <c r="O64" s="10">
        <v>30958</v>
      </c>
      <c r="P64" s="10">
        <v>25824</v>
      </c>
      <c r="Q64" s="10">
        <v>18828</v>
      </c>
      <c r="R64" s="10">
        <v>13910</v>
      </c>
      <c r="S64" s="10">
        <v>10764</v>
      </c>
      <c r="T64" s="10">
        <v>7503</v>
      </c>
      <c r="U64" s="10">
        <v>4609</v>
      </c>
      <c r="V64" s="10">
        <v>3110</v>
      </c>
      <c r="W64" s="10">
        <v>1691</v>
      </c>
      <c r="X64" s="10">
        <v>1200</v>
      </c>
      <c r="Y64" s="10">
        <v>265803</v>
      </c>
      <c r="Z64" s="10">
        <v>39191</v>
      </c>
      <c r="AA64" s="10">
        <v>33924</v>
      </c>
      <c r="AB64" s="10">
        <v>33400</v>
      </c>
      <c r="AC64" s="10">
        <v>31788</v>
      </c>
      <c r="AD64" s="10">
        <v>26891</v>
      </c>
      <c r="AE64" s="10">
        <v>22278</v>
      </c>
      <c r="AF64" s="10">
        <v>18220</v>
      </c>
      <c r="AG64" s="10">
        <v>15862</v>
      </c>
      <c r="AH64" s="10">
        <v>13346</v>
      </c>
      <c r="AI64" s="10">
        <v>9690</v>
      </c>
      <c r="AJ64" s="10">
        <v>7062</v>
      </c>
      <c r="AK64" s="10">
        <v>5292</v>
      </c>
      <c r="AL64" s="10">
        <v>3756</v>
      </c>
      <c r="AM64" s="10">
        <v>2417</v>
      </c>
      <c r="AN64" s="10">
        <v>1496</v>
      </c>
      <c r="AO64" s="10">
        <v>734</v>
      </c>
      <c r="AP64" s="10">
        <v>456</v>
      </c>
      <c r="AQ64" s="10">
        <v>264605</v>
      </c>
      <c r="AR64" s="10">
        <v>38357</v>
      </c>
      <c r="AS64" s="10">
        <v>34819</v>
      </c>
      <c r="AT64" s="10">
        <v>34790</v>
      </c>
      <c r="AU64" s="10">
        <v>32284</v>
      </c>
      <c r="AV64" s="10">
        <v>26052</v>
      </c>
      <c r="AW64" s="10">
        <v>21850</v>
      </c>
      <c r="AX64" s="10">
        <v>18167</v>
      </c>
      <c r="AY64" s="10">
        <v>15096</v>
      </c>
      <c r="AZ64" s="10">
        <v>12478</v>
      </c>
      <c r="BA64" s="10">
        <v>9138</v>
      </c>
      <c r="BB64" s="10">
        <v>6848</v>
      </c>
      <c r="BC64" s="10">
        <v>5472</v>
      </c>
      <c r="BD64" s="10">
        <v>3747</v>
      </c>
      <c r="BE64" s="10">
        <v>2192</v>
      </c>
      <c r="BF64" s="10">
        <v>1614</v>
      </c>
      <c r="BG64" s="10">
        <v>957</v>
      </c>
      <c r="BH64" s="10">
        <v>744</v>
      </c>
    </row>
    <row r="65" spans="1:60" ht="13.2" x14ac:dyDescent="0.25">
      <c r="A65" s="2" t="s">
        <v>3</v>
      </c>
      <c r="B65" s="2" t="s">
        <v>291</v>
      </c>
      <c r="C65" s="2" t="s">
        <v>138</v>
      </c>
      <c r="D65" s="2" t="s">
        <v>335</v>
      </c>
      <c r="E65" s="2" t="s">
        <v>154</v>
      </c>
      <c r="F65" s="2">
        <v>2020</v>
      </c>
      <c r="G65" s="10">
        <v>99939</v>
      </c>
      <c r="H65" s="10">
        <v>18461</v>
      </c>
      <c r="I65" s="10">
        <v>16182</v>
      </c>
      <c r="J65" s="10">
        <v>13314</v>
      </c>
      <c r="K65" s="10">
        <v>10839</v>
      </c>
      <c r="L65" s="10">
        <v>8232</v>
      </c>
      <c r="M65" s="10">
        <v>6606</v>
      </c>
      <c r="N65" s="10">
        <v>5325</v>
      </c>
      <c r="O65" s="10">
        <v>4773</v>
      </c>
      <c r="P65" s="10">
        <v>4067</v>
      </c>
      <c r="Q65" s="10">
        <v>3250</v>
      </c>
      <c r="R65" s="10">
        <v>2380</v>
      </c>
      <c r="S65" s="10">
        <v>1660</v>
      </c>
      <c r="T65" s="10">
        <v>1559</v>
      </c>
      <c r="U65" s="10">
        <v>1110</v>
      </c>
      <c r="V65" s="10">
        <v>981</v>
      </c>
      <c r="W65" s="10">
        <v>623</v>
      </c>
      <c r="X65" s="10">
        <v>577</v>
      </c>
      <c r="Y65" s="10">
        <v>49895</v>
      </c>
      <c r="Z65" s="10">
        <v>9361</v>
      </c>
      <c r="AA65" s="10">
        <v>8233</v>
      </c>
      <c r="AB65" s="10">
        <v>6972</v>
      </c>
      <c r="AC65" s="10">
        <v>5743</v>
      </c>
      <c r="AD65" s="10">
        <v>4138</v>
      </c>
      <c r="AE65" s="10">
        <v>3243</v>
      </c>
      <c r="AF65" s="10">
        <v>2559</v>
      </c>
      <c r="AG65" s="10">
        <v>2299</v>
      </c>
      <c r="AH65" s="10">
        <v>2006</v>
      </c>
      <c r="AI65" s="10">
        <v>1582</v>
      </c>
      <c r="AJ65" s="10">
        <v>1184</v>
      </c>
      <c r="AK65" s="10">
        <v>730</v>
      </c>
      <c r="AL65" s="10">
        <v>612</v>
      </c>
      <c r="AM65" s="10">
        <v>427</v>
      </c>
      <c r="AN65" s="10">
        <v>381</v>
      </c>
      <c r="AO65" s="10">
        <v>227</v>
      </c>
      <c r="AP65" s="10">
        <v>198</v>
      </c>
      <c r="AQ65" s="10">
        <v>50044</v>
      </c>
      <c r="AR65" s="10">
        <v>9100</v>
      </c>
      <c r="AS65" s="10">
        <v>7949</v>
      </c>
      <c r="AT65" s="10">
        <v>6342</v>
      </c>
      <c r="AU65" s="10">
        <v>5096</v>
      </c>
      <c r="AV65" s="10">
        <v>4094</v>
      </c>
      <c r="AW65" s="10">
        <v>3363</v>
      </c>
      <c r="AX65" s="10">
        <v>2766</v>
      </c>
      <c r="AY65" s="10">
        <v>2474</v>
      </c>
      <c r="AZ65" s="10">
        <v>2061</v>
      </c>
      <c r="BA65" s="10">
        <v>1668</v>
      </c>
      <c r="BB65" s="10">
        <v>1196</v>
      </c>
      <c r="BC65" s="10">
        <v>930</v>
      </c>
      <c r="BD65" s="10">
        <v>947</v>
      </c>
      <c r="BE65" s="10">
        <v>683</v>
      </c>
      <c r="BF65" s="10">
        <v>600</v>
      </c>
      <c r="BG65" s="10">
        <v>396</v>
      </c>
      <c r="BH65" s="10">
        <v>379</v>
      </c>
    </row>
    <row r="66" spans="1:60" ht="13.2" x14ac:dyDescent="0.25">
      <c r="A66" s="2" t="s">
        <v>3</v>
      </c>
      <c r="B66" s="2" t="s">
        <v>291</v>
      </c>
      <c r="C66" s="2" t="s">
        <v>138</v>
      </c>
      <c r="D66" s="2" t="s">
        <v>335</v>
      </c>
      <c r="E66" s="2" t="s">
        <v>155</v>
      </c>
      <c r="F66" s="2">
        <v>2020</v>
      </c>
      <c r="G66" s="10">
        <v>500404</v>
      </c>
      <c r="H66" s="10">
        <v>93055</v>
      </c>
      <c r="I66" s="10">
        <v>79384</v>
      </c>
      <c r="J66" s="10">
        <v>65740</v>
      </c>
      <c r="K66" s="10">
        <v>52154</v>
      </c>
      <c r="L66" s="10">
        <v>43388</v>
      </c>
      <c r="M66" s="10">
        <v>36123</v>
      </c>
      <c r="N66" s="10">
        <v>28192</v>
      </c>
      <c r="O66" s="10">
        <v>23986</v>
      </c>
      <c r="P66" s="10">
        <v>20135</v>
      </c>
      <c r="Q66" s="10">
        <v>15073</v>
      </c>
      <c r="R66" s="10">
        <v>11337</v>
      </c>
      <c r="S66" s="10">
        <v>8824</v>
      </c>
      <c r="T66" s="10">
        <v>7350</v>
      </c>
      <c r="U66" s="10">
        <v>5420</v>
      </c>
      <c r="V66" s="10">
        <v>4447</v>
      </c>
      <c r="W66" s="10">
        <v>2934</v>
      </c>
      <c r="X66" s="10">
        <v>2862</v>
      </c>
      <c r="Y66" s="10">
        <v>249333</v>
      </c>
      <c r="Z66" s="10">
        <v>47135</v>
      </c>
      <c r="AA66" s="10">
        <v>40389</v>
      </c>
      <c r="AB66" s="10">
        <v>33885</v>
      </c>
      <c r="AC66" s="10">
        <v>26787</v>
      </c>
      <c r="AD66" s="10">
        <v>21787</v>
      </c>
      <c r="AE66" s="10">
        <v>17833</v>
      </c>
      <c r="AF66" s="10">
        <v>14188</v>
      </c>
      <c r="AG66" s="10">
        <v>11883</v>
      </c>
      <c r="AH66" s="10">
        <v>9673</v>
      </c>
      <c r="AI66" s="10">
        <v>7656</v>
      </c>
      <c r="AJ66" s="10">
        <v>5400</v>
      </c>
      <c r="AK66" s="10">
        <v>3855</v>
      </c>
      <c r="AL66" s="10">
        <v>2931</v>
      </c>
      <c r="AM66" s="10">
        <v>2265</v>
      </c>
      <c r="AN66" s="10">
        <v>1677</v>
      </c>
      <c r="AO66" s="10">
        <v>1103</v>
      </c>
      <c r="AP66" s="10">
        <v>886</v>
      </c>
      <c r="AQ66" s="10">
        <v>251071</v>
      </c>
      <c r="AR66" s="10">
        <v>45920</v>
      </c>
      <c r="AS66" s="10">
        <v>38995</v>
      </c>
      <c r="AT66" s="10">
        <v>31855</v>
      </c>
      <c r="AU66" s="10">
        <v>25367</v>
      </c>
      <c r="AV66" s="10">
        <v>21601</v>
      </c>
      <c r="AW66" s="10">
        <v>18290</v>
      </c>
      <c r="AX66" s="10">
        <v>14004</v>
      </c>
      <c r="AY66" s="10">
        <v>12103</v>
      </c>
      <c r="AZ66" s="10">
        <v>10462</v>
      </c>
      <c r="BA66" s="10">
        <v>7417</v>
      </c>
      <c r="BB66" s="10">
        <v>5937</v>
      </c>
      <c r="BC66" s="10">
        <v>4969</v>
      </c>
      <c r="BD66" s="10">
        <v>4419</v>
      </c>
      <c r="BE66" s="10">
        <v>3155</v>
      </c>
      <c r="BF66" s="10">
        <v>2770</v>
      </c>
      <c r="BG66" s="10">
        <v>1831</v>
      </c>
      <c r="BH66" s="10">
        <v>1976</v>
      </c>
    </row>
    <row r="67" spans="1:60" ht="13.2" x14ac:dyDescent="0.25">
      <c r="A67" s="2" t="s">
        <v>3</v>
      </c>
      <c r="B67" s="2" t="s">
        <v>291</v>
      </c>
      <c r="C67" s="2" t="s">
        <v>158</v>
      </c>
      <c r="D67" s="2" t="s">
        <v>363</v>
      </c>
      <c r="E67" s="2" t="s">
        <v>171</v>
      </c>
      <c r="F67" s="2">
        <v>2020</v>
      </c>
      <c r="G67" s="10">
        <v>235423</v>
      </c>
      <c r="H67" s="10">
        <v>45500</v>
      </c>
      <c r="I67" s="10">
        <v>39021</v>
      </c>
      <c r="J67" s="10">
        <v>30626</v>
      </c>
      <c r="K67" s="10">
        <v>23200</v>
      </c>
      <c r="L67" s="10">
        <v>17698</v>
      </c>
      <c r="M67" s="10">
        <v>15080</v>
      </c>
      <c r="N67" s="10">
        <v>12917</v>
      </c>
      <c r="O67" s="10">
        <v>11863</v>
      </c>
      <c r="P67" s="10">
        <v>11186</v>
      </c>
      <c r="Q67" s="10">
        <v>7826</v>
      </c>
      <c r="R67" s="10">
        <v>5838</v>
      </c>
      <c r="S67" s="10">
        <v>4356</v>
      </c>
      <c r="T67" s="10">
        <v>3811</v>
      </c>
      <c r="U67" s="10">
        <v>2711</v>
      </c>
      <c r="V67" s="10">
        <v>1986</v>
      </c>
      <c r="W67" s="10">
        <v>1124</v>
      </c>
      <c r="X67" s="10">
        <v>680</v>
      </c>
      <c r="Y67" s="10">
        <v>116573</v>
      </c>
      <c r="Z67" s="10">
        <v>23100</v>
      </c>
      <c r="AA67" s="10">
        <v>19751</v>
      </c>
      <c r="AB67" s="10">
        <v>15693</v>
      </c>
      <c r="AC67" s="10">
        <v>11665</v>
      </c>
      <c r="AD67" s="10">
        <v>8391</v>
      </c>
      <c r="AE67" s="10">
        <v>7082</v>
      </c>
      <c r="AF67" s="10">
        <v>6093</v>
      </c>
      <c r="AG67" s="10">
        <v>5599</v>
      </c>
      <c r="AH67" s="10">
        <v>5578</v>
      </c>
      <c r="AI67" s="10">
        <v>4036</v>
      </c>
      <c r="AJ67" s="10">
        <v>2961</v>
      </c>
      <c r="AK67" s="10">
        <v>2021</v>
      </c>
      <c r="AL67" s="10">
        <v>1673</v>
      </c>
      <c r="AM67" s="10">
        <v>1197</v>
      </c>
      <c r="AN67" s="10">
        <v>923</v>
      </c>
      <c r="AO67" s="10">
        <v>522</v>
      </c>
      <c r="AP67" s="10">
        <v>288</v>
      </c>
      <c r="AQ67" s="10">
        <v>118850</v>
      </c>
      <c r="AR67" s="10">
        <v>22400</v>
      </c>
      <c r="AS67" s="10">
        <v>19270</v>
      </c>
      <c r="AT67" s="10">
        <v>14933</v>
      </c>
      <c r="AU67" s="10">
        <v>11535</v>
      </c>
      <c r="AV67" s="10">
        <v>9307</v>
      </c>
      <c r="AW67" s="10">
        <v>7998</v>
      </c>
      <c r="AX67" s="10">
        <v>6824</v>
      </c>
      <c r="AY67" s="10">
        <v>6264</v>
      </c>
      <c r="AZ67" s="10">
        <v>5608</v>
      </c>
      <c r="BA67" s="10">
        <v>3790</v>
      </c>
      <c r="BB67" s="10">
        <v>2877</v>
      </c>
      <c r="BC67" s="10">
        <v>2335</v>
      </c>
      <c r="BD67" s="10">
        <v>2138</v>
      </c>
      <c r="BE67" s="10">
        <v>1514</v>
      </c>
      <c r="BF67" s="10">
        <v>1063</v>
      </c>
      <c r="BG67" s="10">
        <v>602</v>
      </c>
      <c r="BH67" s="10">
        <v>392</v>
      </c>
    </row>
    <row r="68" spans="1:60" ht="13.2" x14ac:dyDescent="0.25">
      <c r="A68" s="2" t="s">
        <v>3</v>
      </c>
      <c r="B68" s="2" t="s">
        <v>291</v>
      </c>
      <c r="C68" s="2" t="s">
        <v>253</v>
      </c>
      <c r="D68" s="2" t="s">
        <v>498</v>
      </c>
      <c r="E68" s="2" t="s">
        <v>267</v>
      </c>
      <c r="F68" s="2">
        <v>2020</v>
      </c>
      <c r="G68" s="10">
        <v>142962</v>
      </c>
      <c r="H68" s="10">
        <v>27083</v>
      </c>
      <c r="I68" s="10">
        <v>22355</v>
      </c>
      <c r="J68" s="10">
        <v>18004</v>
      </c>
      <c r="K68" s="10">
        <v>14517</v>
      </c>
      <c r="L68" s="10">
        <v>12246</v>
      </c>
      <c r="M68" s="10">
        <v>9784</v>
      </c>
      <c r="N68" s="10">
        <v>8106</v>
      </c>
      <c r="O68" s="10">
        <v>6679</v>
      </c>
      <c r="P68" s="10">
        <v>6074</v>
      </c>
      <c r="Q68" s="10">
        <v>4460</v>
      </c>
      <c r="R68" s="10">
        <v>3504</v>
      </c>
      <c r="S68" s="10">
        <v>2762</v>
      </c>
      <c r="T68" s="10">
        <v>2429</v>
      </c>
      <c r="U68" s="10">
        <v>1621</v>
      </c>
      <c r="V68" s="10">
        <v>1403</v>
      </c>
      <c r="W68" s="10">
        <v>939</v>
      </c>
      <c r="X68" s="10">
        <v>996</v>
      </c>
      <c r="Y68" s="10">
        <v>68980</v>
      </c>
      <c r="Z68" s="10">
        <v>13677</v>
      </c>
      <c r="AA68" s="10">
        <v>11374</v>
      </c>
      <c r="AB68" s="10">
        <v>9149</v>
      </c>
      <c r="AC68" s="10">
        <v>7160</v>
      </c>
      <c r="AD68" s="10">
        <v>5950</v>
      </c>
      <c r="AE68" s="10">
        <v>4644</v>
      </c>
      <c r="AF68" s="10">
        <v>3778</v>
      </c>
      <c r="AG68" s="10">
        <v>2991</v>
      </c>
      <c r="AH68" s="10">
        <v>2723</v>
      </c>
      <c r="AI68" s="10">
        <v>2016</v>
      </c>
      <c r="AJ68" s="10">
        <v>1541</v>
      </c>
      <c r="AK68" s="10">
        <v>1060</v>
      </c>
      <c r="AL68" s="10">
        <v>876</v>
      </c>
      <c r="AM68" s="10">
        <v>688</v>
      </c>
      <c r="AN68" s="10">
        <v>602</v>
      </c>
      <c r="AO68" s="10">
        <v>393</v>
      </c>
      <c r="AP68" s="10">
        <v>358</v>
      </c>
      <c r="AQ68" s="10">
        <v>73982</v>
      </c>
      <c r="AR68" s="10">
        <v>13406</v>
      </c>
      <c r="AS68" s="10">
        <v>10981</v>
      </c>
      <c r="AT68" s="10">
        <v>8855</v>
      </c>
      <c r="AU68" s="10">
        <v>7357</v>
      </c>
      <c r="AV68" s="10">
        <v>6296</v>
      </c>
      <c r="AW68" s="10">
        <v>5140</v>
      </c>
      <c r="AX68" s="10">
        <v>4328</v>
      </c>
      <c r="AY68" s="10">
        <v>3688</v>
      </c>
      <c r="AZ68" s="10">
        <v>3351</v>
      </c>
      <c r="BA68" s="10">
        <v>2444</v>
      </c>
      <c r="BB68" s="10">
        <v>1963</v>
      </c>
      <c r="BC68" s="10">
        <v>1702</v>
      </c>
      <c r="BD68" s="10">
        <v>1553</v>
      </c>
      <c r="BE68" s="10">
        <v>933</v>
      </c>
      <c r="BF68" s="10">
        <v>801</v>
      </c>
      <c r="BG68" s="10">
        <v>546</v>
      </c>
      <c r="BH68" s="10">
        <v>638</v>
      </c>
    </row>
    <row r="69" spans="1:60" ht="13.2" x14ac:dyDescent="0.25">
      <c r="A69" s="2" t="s">
        <v>3</v>
      </c>
      <c r="B69" s="2" t="s">
        <v>291</v>
      </c>
      <c r="C69" s="2" t="s">
        <v>96</v>
      </c>
      <c r="D69" s="2" t="s">
        <v>290</v>
      </c>
      <c r="E69" s="2" t="s">
        <v>111</v>
      </c>
      <c r="F69" s="2">
        <v>2020</v>
      </c>
      <c r="G69" s="10">
        <v>204240</v>
      </c>
      <c r="H69" s="10">
        <v>39163</v>
      </c>
      <c r="I69" s="10">
        <v>33694</v>
      </c>
      <c r="J69" s="10">
        <v>27235</v>
      </c>
      <c r="K69" s="10">
        <v>21692</v>
      </c>
      <c r="L69" s="10">
        <v>16463</v>
      </c>
      <c r="M69" s="10">
        <v>13495</v>
      </c>
      <c r="N69" s="10">
        <v>11027</v>
      </c>
      <c r="O69" s="10">
        <v>9862</v>
      </c>
      <c r="P69" s="10">
        <v>8303</v>
      </c>
      <c r="Q69" s="10">
        <v>6638</v>
      </c>
      <c r="R69" s="10">
        <v>4815</v>
      </c>
      <c r="S69" s="10">
        <v>3598</v>
      </c>
      <c r="T69" s="10">
        <v>3076</v>
      </c>
      <c r="U69" s="10">
        <v>1935</v>
      </c>
      <c r="V69" s="10">
        <v>1574</v>
      </c>
      <c r="W69" s="10">
        <v>1068</v>
      </c>
      <c r="X69" s="10">
        <v>602</v>
      </c>
      <c r="Y69" s="10">
        <v>102079</v>
      </c>
      <c r="Z69" s="10">
        <v>19604</v>
      </c>
      <c r="AA69" s="10">
        <v>17068</v>
      </c>
      <c r="AB69" s="10">
        <v>13996</v>
      </c>
      <c r="AC69" s="10">
        <v>10970</v>
      </c>
      <c r="AD69" s="10">
        <v>8061</v>
      </c>
      <c r="AE69" s="10">
        <v>6591</v>
      </c>
      <c r="AF69" s="10">
        <v>5430</v>
      </c>
      <c r="AG69" s="10">
        <v>4723</v>
      </c>
      <c r="AH69" s="10">
        <v>4272</v>
      </c>
      <c r="AI69" s="10">
        <v>3414</v>
      </c>
      <c r="AJ69" s="10">
        <v>2455</v>
      </c>
      <c r="AK69" s="10">
        <v>1709</v>
      </c>
      <c r="AL69" s="10">
        <v>1370</v>
      </c>
      <c r="AM69" s="10">
        <v>904</v>
      </c>
      <c r="AN69" s="10">
        <v>721</v>
      </c>
      <c r="AO69" s="10">
        <v>503</v>
      </c>
      <c r="AP69" s="10">
        <v>288</v>
      </c>
      <c r="AQ69" s="10">
        <v>102161</v>
      </c>
      <c r="AR69" s="10">
        <v>19559</v>
      </c>
      <c r="AS69" s="10">
        <v>16626</v>
      </c>
      <c r="AT69" s="10">
        <v>13239</v>
      </c>
      <c r="AU69" s="10">
        <v>10722</v>
      </c>
      <c r="AV69" s="10">
        <v>8402</v>
      </c>
      <c r="AW69" s="10">
        <v>6904</v>
      </c>
      <c r="AX69" s="10">
        <v>5597</v>
      </c>
      <c r="AY69" s="10">
        <v>5139</v>
      </c>
      <c r="AZ69" s="10">
        <v>4031</v>
      </c>
      <c r="BA69" s="10">
        <v>3224</v>
      </c>
      <c r="BB69" s="10">
        <v>2360</v>
      </c>
      <c r="BC69" s="10">
        <v>1889</v>
      </c>
      <c r="BD69" s="10">
        <v>1706</v>
      </c>
      <c r="BE69" s="10">
        <v>1031</v>
      </c>
      <c r="BF69" s="10">
        <v>853</v>
      </c>
      <c r="BG69" s="10">
        <v>565</v>
      </c>
      <c r="BH69" s="10">
        <v>314</v>
      </c>
    </row>
    <row r="70" spans="1:60" ht="13.2" x14ac:dyDescent="0.25">
      <c r="A70" s="2" t="s">
        <v>3</v>
      </c>
      <c r="B70" s="2" t="s">
        <v>291</v>
      </c>
      <c r="C70" s="2" t="s">
        <v>253</v>
      </c>
      <c r="D70" s="2" t="s">
        <v>498</v>
      </c>
      <c r="E70" s="2" t="s">
        <v>269</v>
      </c>
      <c r="F70" s="2">
        <v>2020</v>
      </c>
      <c r="G70" s="10">
        <v>124443</v>
      </c>
      <c r="H70" s="10">
        <v>22731</v>
      </c>
      <c r="I70" s="10">
        <v>19183</v>
      </c>
      <c r="J70" s="10">
        <v>15713</v>
      </c>
      <c r="K70" s="10">
        <v>12829</v>
      </c>
      <c r="L70" s="10">
        <v>10911</v>
      </c>
      <c r="M70" s="10">
        <v>8934</v>
      </c>
      <c r="N70" s="10">
        <v>7571</v>
      </c>
      <c r="O70" s="10">
        <v>6004</v>
      </c>
      <c r="P70" s="10">
        <v>4935</v>
      </c>
      <c r="Q70" s="10">
        <v>3825</v>
      </c>
      <c r="R70" s="10">
        <v>2802</v>
      </c>
      <c r="S70" s="10">
        <v>2463</v>
      </c>
      <c r="T70" s="10">
        <v>2095</v>
      </c>
      <c r="U70" s="10">
        <v>1444</v>
      </c>
      <c r="V70" s="10">
        <v>1318</v>
      </c>
      <c r="W70" s="10">
        <v>905</v>
      </c>
      <c r="X70" s="10">
        <v>780</v>
      </c>
      <c r="Y70" s="10">
        <v>61898</v>
      </c>
      <c r="Z70" s="10">
        <v>11412</v>
      </c>
      <c r="AA70" s="10">
        <v>9718</v>
      </c>
      <c r="AB70" s="10">
        <v>7989</v>
      </c>
      <c r="AC70" s="10">
        <v>6602</v>
      </c>
      <c r="AD70" s="10">
        <v>5475</v>
      </c>
      <c r="AE70" s="10">
        <v>4576</v>
      </c>
      <c r="AF70" s="10">
        <v>3764</v>
      </c>
      <c r="AG70" s="10">
        <v>2969</v>
      </c>
      <c r="AH70" s="10">
        <v>2457</v>
      </c>
      <c r="AI70" s="10">
        <v>1877</v>
      </c>
      <c r="AJ70" s="10">
        <v>1346</v>
      </c>
      <c r="AK70" s="10">
        <v>1047</v>
      </c>
      <c r="AL70" s="10">
        <v>850</v>
      </c>
      <c r="AM70" s="10">
        <v>623</v>
      </c>
      <c r="AN70" s="10">
        <v>522</v>
      </c>
      <c r="AO70" s="10">
        <v>373</v>
      </c>
      <c r="AP70" s="10">
        <v>298</v>
      </c>
      <c r="AQ70" s="10">
        <v>62545</v>
      </c>
      <c r="AR70" s="10">
        <v>11319</v>
      </c>
      <c r="AS70" s="10">
        <v>9465</v>
      </c>
      <c r="AT70" s="10">
        <v>7724</v>
      </c>
      <c r="AU70" s="10">
        <v>6227</v>
      </c>
      <c r="AV70" s="10">
        <v>5436</v>
      </c>
      <c r="AW70" s="10">
        <v>4358</v>
      </c>
      <c r="AX70" s="10">
        <v>3807</v>
      </c>
      <c r="AY70" s="10">
        <v>3035</v>
      </c>
      <c r="AZ70" s="10">
        <v>2478</v>
      </c>
      <c r="BA70" s="10">
        <v>1948</v>
      </c>
      <c r="BB70" s="10">
        <v>1456</v>
      </c>
      <c r="BC70" s="10">
        <v>1416</v>
      </c>
      <c r="BD70" s="10">
        <v>1245</v>
      </c>
      <c r="BE70" s="10">
        <v>821</v>
      </c>
      <c r="BF70" s="10">
        <v>796</v>
      </c>
      <c r="BG70" s="10">
        <v>532</v>
      </c>
      <c r="BH70" s="10">
        <v>482</v>
      </c>
    </row>
    <row r="71" spans="1:60" ht="13.2" x14ac:dyDescent="0.25">
      <c r="A71" s="2" t="s">
        <v>3</v>
      </c>
      <c r="B71" s="2" t="s">
        <v>291</v>
      </c>
      <c r="C71" s="2" t="s">
        <v>253</v>
      </c>
      <c r="D71" s="2" t="s">
        <v>498</v>
      </c>
      <c r="E71" s="2" t="s">
        <v>272</v>
      </c>
      <c r="F71" s="2">
        <v>2020</v>
      </c>
      <c r="G71" s="10">
        <v>120678</v>
      </c>
      <c r="H71" s="10">
        <v>24236</v>
      </c>
      <c r="I71" s="10">
        <v>20077</v>
      </c>
      <c r="J71" s="10">
        <v>15205</v>
      </c>
      <c r="K71" s="10">
        <v>11959</v>
      </c>
      <c r="L71" s="10">
        <v>10365</v>
      </c>
      <c r="M71" s="10">
        <v>8939</v>
      </c>
      <c r="N71" s="10">
        <v>6293</v>
      </c>
      <c r="O71" s="10">
        <v>4856</v>
      </c>
      <c r="P71" s="10">
        <v>4723</v>
      </c>
      <c r="Q71" s="10">
        <v>3843</v>
      </c>
      <c r="R71" s="10">
        <v>2903</v>
      </c>
      <c r="S71" s="10">
        <v>2027</v>
      </c>
      <c r="T71" s="10">
        <v>1752</v>
      </c>
      <c r="U71" s="10">
        <v>1132</v>
      </c>
      <c r="V71" s="10">
        <v>1020</v>
      </c>
      <c r="W71" s="10">
        <v>624</v>
      </c>
      <c r="X71" s="10">
        <v>724</v>
      </c>
      <c r="Y71" s="10">
        <v>58702</v>
      </c>
      <c r="Z71" s="10">
        <v>12364</v>
      </c>
      <c r="AA71" s="10">
        <v>10155</v>
      </c>
      <c r="AB71" s="10">
        <v>7686</v>
      </c>
      <c r="AC71" s="10">
        <v>5896</v>
      </c>
      <c r="AD71" s="10">
        <v>4834</v>
      </c>
      <c r="AE71" s="10">
        <v>4288</v>
      </c>
      <c r="AF71" s="10">
        <v>2968</v>
      </c>
      <c r="AG71" s="10">
        <v>2149</v>
      </c>
      <c r="AH71" s="10">
        <v>2113</v>
      </c>
      <c r="AI71" s="10">
        <v>1790</v>
      </c>
      <c r="AJ71" s="10">
        <v>1428</v>
      </c>
      <c r="AK71" s="10">
        <v>890</v>
      </c>
      <c r="AL71" s="10">
        <v>686</v>
      </c>
      <c r="AM71" s="10">
        <v>480</v>
      </c>
      <c r="AN71" s="10">
        <v>455</v>
      </c>
      <c r="AO71" s="10">
        <v>272</v>
      </c>
      <c r="AP71" s="10">
        <v>248</v>
      </c>
      <c r="AQ71" s="10">
        <v>61976</v>
      </c>
      <c r="AR71" s="10">
        <v>11872</v>
      </c>
      <c r="AS71" s="10">
        <v>9922</v>
      </c>
      <c r="AT71" s="10">
        <v>7519</v>
      </c>
      <c r="AU71" s="10">
        <v>6063</v>
      </c>
      <c r="AV71" s="10">
        <v>5531</v>
      </c>
      <c r="AW71" s="10">
        <v>4651</v>
      </c>
      <c r="AX71" s="10">
        <v>3325</v>
      </c>
      <c r="AY71" s="10">
        <v>2707</v>
      </c>
      <c r="AZ71" s="10">
        <v>2610</v>
      </c>
      <c r="BA71" s="10">
        <v>2053</v>
      </c>
      <c r="BB71" s="10">
        <v>1475</v>
      </c>
      <c r="BC71" s="10">
        <v>1137</v>
      </c>
      <c r="BD71" s="10">
        <v>1066</v>
      </c>
      <c r="BE71" s="10">
        <v>652</v>
      </c>
      <c r="BF71" s="10">
        <v>565</v>
      </c>
      <c r="BG71" s="10">
        <v>352</v>
      </c>
      <c r="BH71" s="10">
        <v>476</v>
      </c>
    </row>
    <row r="72" spans="1:60" ht="13.2" x14ac:dyDescent="0.25">
      <c r="A72" s="2" t="s">
        <v>3</v>
      </c>
      <c r="B72" s="2" t="s">
        <v>291</v>
      </c>
      <c r="C72" s="2" t="s">
        <v>231</v>
      </c>
      <c r="D72" s="2" t="s">
        <v>470</v>
      </c>
      <c r="E72" s="2" t="s">
        <v>251</v>
      </c>
      <c r="F72" s="2">
        <v>2020</v>
      </c>
      <c r="G72" s="10">
        <v>133737</v>
      </c>
      <c r="H72" s="10">
        <v>24953</v>
      </c>
      <c r="I72" s="10">
        <v>20970</v>
      </c>
      <c r="J72" s="10">
        <v>17638</v>
      </c>
      <c r="K72" s="10">
        <v>14512</v>
      </c>
      <c r="L72" s="10">
        <v>11680</v>
      </c>
      <c r="M72" s="10">
        <v>10000</v>
      </c>
      <c r="N72" s="10">
        <v>8120</v>
      </c>
      <c r="O72" s="10">
        <v>6936</v>
      </c>
      <c r="P72" s="10">
        <v>5511</v>
      </c>
      <c r="Q72" s="10">
        <v>4054</v>
      </c>
      <c r="R72" s="10">
        <v>2782</v>
      </c>
      <c r="S72" s="10">
        <v>2034</v>
      </c>
      <c r="T72" s="10">
        <v>1494</v>
      </c>
      <c r="U72" s="10">
        <v>1074</v>
      </c>
      <c r="V72" s="10">
        <v>902</v>
      </c>
      <c r="W72" s="10">
        <v>590</v>
      </c>
      <c r="X72" s="10">
        <v>487</v>
      </c>
      <c r="Y72" s="10">
        <v>66721</v>
      </c>
      <c r="Z72" s="10">
        <v>12635</v>
      </c>
      <c r="AA72" s="10">
        <v>10650</v>
      </c>
      <c r="AB72" s="10">
        <v>8816</v>
      </c>
      <c r="AC72" s="10">
        <v>7564</v>
      </c>
      <c r="AD72" s="10">
        <v>5925</v>
      </c>
      <c r="AE72" s="10">
        <v>4906</v>
      </c>
      <c r="AF72" s="10">
        <v>4058</v>
      </c>
      <c r="AG72" s="10">
        <v>3449</v>
      </c>
      <c r="AH72" s="10">
        <v>2670</v>
      </c>
      <c r="AI72" s="10">
        <v>1958</v>
      </c>
      <c r="AJ72" s="10">
        <v>1389</v>
      </c>
      <c r="AK72" s="10">
        <v>910</v>
      </c>
      <c r="AL72" s="10">
        <v>664</v>
      </c>
      <c r="AM72" s="10">
        <v>437</v>
      </c>
      <c r="AN72" s="10">
        <v>330</v>
      </c>
      <c r="AO72" s="10">
        <v>204</v>
      </c>
      <c r="AP72" s="10">
        <v>156</v>
      </c>
      <c r="AQ72" s="10">
        <v>67016</v>
      </c>
      <c r="AR72" s="10">
        <v>12318</v>
      </c>
      <c r="AS72" s="10">
        <v>10320</v>
      </c>
      <c r="AT72" s="10">
        <v>8822</v>
      </c>
      <c r="AU72" s="10">
        <v>6948</v>
      </c>
      <c r="AV72" s="10">
        <v>5755</v>
      </c>
      <c r="AW72" s="10">
        <v>5094</v>
      </c>
      <c r="AX72" s="10">
        <v>4062</v>
      </c>
      <c r="AY72" s="10">
        <v>3487</v>
      </c>
      <c r="AZ72" s="10">
        <v>2841</v>
      </c>
      <c r="BA72" s="10">
        <v>2096</v>
      </c>
      <c r="BB72" s="10">
        <v>1393</v>
      </c>
      <c r="BC72" s="10">
        <v>1124</v>
      </c>
      <c r="BD72" s="10">
        <v>830</v>
      </c>
      <c r="BE72" s="10">
        <v>637</v>
      </c>
      <c r="BF72" s="10">
        <v>572</v>
      </c>
      <c r="BG72" s="10">
        <v>386</v>
      </c>
      <c r="BH72" s="10">
        <v>331</v>
      </c>
    </row>
    <row r="73" spans="1:60" ht="13.2" x14ac:dyDescent="0.25">
      <c r="A73" s="2" t="s">
        <v>3</v>
      </c>
      <c r="B73" s="2" t="s">
        <v>291</v>
      </c>
      <c r="C73" s="2" t="s">
        <v>231</v>
      </c>
      <c r="D73" s="2" t="s">
        <v>470</v>
      </c>
      <c r="E73" s="2" t="s">
        <v>252</v>
      </c>
      <c r="F73" s="2">
        <v>2020</v>
      </c>
      <c r="G73" s="10">
        <v>124804</v>
      </c>
      <c r="H73" s="10">
        <v>22628</v>
      </c>
      <c r="I73" s="10">
        <v>20182</v>
      </c>
      <c r="J73" s="10">
        <v>16932</v>
      </c>
      <c r="K73" s="10">
        <v>14394</v>
      </c>
      <c r="L73" s="10">
        <v>11167</v>
      </c>
      <c r="M73" s="10">
        <v>8906</v>
      </c>
      <c r="N73" s="10">
        <v>7043</v>
      </c>
      <c r="O73" s="10">
        <v>5929</v>
      </c>
      <c r="P73" s="10">
        <v>5457</v>
      </c>
      <c r="Q73" s="10">
        <v>3870</v>
      </c>
      <c r="R73" s="10">
        <v>2646</v>
      </c>
      <c r="S73" s="10">
        <v>1795</v>
      </c>
      <c r="T73" s="10">
        <v>1374</v>
      </c>
      <c r="U73" s="10">
        <v>1034</v>
      </c>
      <c r="V73" s="10">
        <v>785</v>
      </c>
      <c r="W73" s="10">
        <v>399</v>
      </c>
      <c r="X73" s="10">
        <v>263</v>
      </c>
      <c r="Y73" s="10">
        <v>61268</v>
      </c>
      <c r="Z73" s="10">
        <v>11287</v>
      </c>
      <c r="AA73" s="10">
        <v>10004</v>
      </c>
      <c r="AB73" s="10">
        <v>8545</v>
      </c>
      <c r="AC73" s="10">
        <v>7209</v>
      </c>
      <c r="AD73" s="10">
        <v>5588</v>
      </c>
      <c r="AE73" s="10">
        <v>4498</v>
      </c>
      <c r="AF73" s="10">
        <v>3309</v>
      </c>
      <c r="AG73" s="10">
        <v>2777</v>
      </c>
      <c r="AH73" s="10">
        <v>2582</v>
      </c>
      <c r="AI73" s="10">
        <v>1904</v>
      </c>
      <c r="AJ73" s="10">
        <v>1294</v>
      </c>
      <c r="AK73" s="10">
        <v>835</v>
      </c>
      <c r="AL73" s="10">
        <v>594</v>
      </c>
      <c r="AM73" s="10">
        <v>375</v>
      </c>
      <c r="AN73" s="10">
        <v>244</v>
      </c>
      <c r="AO73" s="10">
        <v>135</v>
      </c>
      <c r="AP73" s="10">
        <v>88</v>
      </c>
      <c r="AQ73" s="10">
        <v>63536</v>
      </c>
      <c r="AR73" s="10">
        <v>11341</v>
      </c>
      <c r="AS73" s="10">
        <v>10178</v>
      </c>
      <c r="AT73" s="10">
        <v>8387</v>
      </c>
      <c r="AU73" s="10">
        <v>7185</v>
      </c>
      <c r="AV73" s="10">
        <v>5579</v>
      </c>
      <c r="AW73" s="10">
        <v>4408</v>
      </c>
      <c r="AX73" s="10">
        <v>3734</v>
      </c>
      <c r="AY73" s="10">
        <v>3152</v>
      </c>
      <c r="AZ73" s="10">
        <v>2875</v>
      </c>
      <c r="BA73" s="10">
        <v>1966</v>
      </c>
      <c r="BB73" s="10">
        <v>1352</v>
      </c>
      <c r="BC73" s="10">
        <v>960</v>
      </c>
      <c r="BD73" s="10">
        <v>780</v>
      </c>
      <c r="BE73" s="10">
        <v>659</v>
      </c>
      <c r="BF73" s="10">
        <v>541</v>
      </c>
      <c r="BG73" s="10">
        <v>264</v>
      </c>
      <c r="BH73" s="10">
        <v>175</v>
      </c>
    </row>
    <row r="74" spans="1:60" ht="13.2" x14ac:dyDescent="0.25">
      <c r="A74" s="2" t="s">
        <v>3</v>
      </c>
      <c r="B74" s="2" t="s">
        <v>291</v>
      </c>
      <c r="C74" s="2" t="s">
        <v>215</v>
      </c>
      <c r="D74" s="2" t="s">
        <v>422</v>
      </c>
      <c r="E74" s="2" t="s">
        <v>224</v>
      </c>
      <c r="F74" s="2">
        <v>2020</v>
      </c>
      <c r="G74" s="10">
        <v>352394</v>
      </c>
      <c r="H74" s="10">
        <v>66167</v>
      </c>
      <c r="I74" s="10">
        <v>54466</v>
      </c>
      <c r="J74" s="10">
        <v>45544</v>
      </c>
      <c r="K74" s="10">
        <v>38158</v>
      </c>
      <c r="L74" s="10">
        <v>33014</v>
      </c>
      <c r="M74" s="10">
        <v>28897</v>
      </c>
      <c r="N74" s="10">
        <v>21907</v>
      </c>
      <c r="O74" s="10">
        <v>17124</v>
      </c>
      <c r="P74" s="10">
        <v>14571</v>
      </c>
      <c r="Q74" s="10">
        <v>10290</v>
      </c>
      <c r="R74" s="10">
        <v>7138</v>
      </c>
      <c r="S74" s="10">
        <v>5280</v>
      </c>
      <c r="T74" s="10">
        <v>3751</v>
      </c>
      <c r="U74" s="10">
        <v>2447</v>
      </c>
      <c r="V74" s="10">
        <v>1727</v>
      </c>
      <c r="W74" s="10">
        <v>1104</v>
      </c>
      <c r="X74" s="10">
        <v>809</v>
      </c>
      <c r="Y74" s="10">
        <v>177325</v>
      </c>
      <c r="Z74" s="10">
        <v>33023</v>
      </c>
      <c r="AA74" s="10">
        <v>27294</v>
      </c>
      <c r="AB74" s="10">
        <v>22528</v>
      </c>
      <c r="AC74" s="10">
        <v>18763</v>
      </c>
      <c r="AD74" s="10">
        <v>16252</v>
      </c>
      <c r="AE74" s="10">
        <v>14881</v>
      </c>
      <c r="AF74" s="10">
        <v>11541</v>
      </c>
      <c r="AG74" s="10">
        <v>8895</v>
      </c>
      <c r="AH74" s="10">
        <v>7462</v>
      </c>
      <c r="AI74" s="10">
        <v>5418</v>
      </c>
      <c r="AJ74" s="10">
        <v>3839</v>
      </c>
      <c r="AK74" s="10">
        <v>2762</v>
      </c>
      <c r="AL74" s="10">
        <v>1878</v>
      </c>
      <c r="AM74" s="10">
        <v>1181</v>
      </c>
      <c r="AN74" s="10">
        <v>830</v>
      </c>
      <c r="AO74" s="10">
        <v>476</v>
      </c>
      <c r="AP74" s="10">
        <v>302</v>
      </c>
      <c r="AQ74" s="10">
        <v>175069</v>
      </c>
      <c r="AR74" s="10">
        <v>33144</v>
      </c>
      <c r="AS74" s="10">
        <v>27172</v>
      </c>
      <c r="AT74" s="10">
        <v>23016</v>
      </c>
      <c r="AU74" s="10">
        <v>19395</v>
      </c>
      <c r="AV74" s="10">
        <v>16762</v>
      </c>
      <c r="AW74" s="10">
        <v>14016</v>
      </c>
      <c r="AX74" s="10">
        <v>10366</v>
      </c>
      <c r="AY74" s="10">
        <v>8229</v>
      </c>
      <c r="AZ74" s="10">
        <v>7109</v>
      </c>
      <c r="BA74" s="10">
        <v>4872</v>
      </c>
      <c r="BB74" s="10">
        <v>3299</v>
      </c>
      <c r="BC74" s="10">
        <v>2518</v>
      </c>
      <c r="BD74" s="10">
        <v>1873</v>
      </c>
      <c r="BE74" s="10">
        <v>1266</v>
      </c>
      <c r="BF74" s="10">
        <v>897</v>
      </c>
      <c r="BG74" s="10">
        <v>628</v>
      </c>
      <c r="BH74" s="10">
        <v>507</v>
      </c>
    </row>
    <row r="75" spans="1:60" ht="13.2" x14ac:dyDescent="0.25">
      <c r="A75" s="2" t="s">
        <v>3</v>
      </c>
      <c r="B75" s="2" t="s">
        <v>291</v>
      </c>
      <c r="C75" s="2" t="s">
        <v>215</v>
      </c>
      <c r="D75" s="2" t="s">
        <v>422</v>
      </c>
      <c r="E75" s="2" t="s">
        <v>228</v>
      </c>
      <c r="F75" s="2">
        <v>2020</v>
      </c>
      <c r="G75" s="10">
        <v>96740</v>
      </c>
      <c r="H75" s="10">
        <v>18869</v>
      </c>
      <c r="I75" s="10">
        <v>16046</v>
      </c>
      <c r="J75" s="10">
        <v>13204</v>
      </c>
      <c r="K75" s="10">
        <v>10015</v>
      </c>
      <c r="L75" s="10">
        <v>7606</v>
      </c>
      <c r="M75" s="10">
        <v>6500</v>
      </c>
      <c r="N75" s="10">
        <v>5270</v>
      </c>
      <c r="O75" s="10">
        <v>4328</v>
      </c>
      <c r="P75" s="10">
        <v>3949</v>
      </c>
      <c r="Q75" s="10">
        <v>2988</v>
      </c>
      <c r="R75" s="10">
        <v>1920</v>
      </c>
      <c r="S75" s="10">
        <v>1565</v>
      </c>
      <c r="T75" s="10">
        <v>1252</v>
      </c>
      <c r="U75" s="10">
        <v>1096</v>
      </c>
      <c r="V75" s="10">
        <v>842</v>
      </c>
      <c r="W75" s="10">
        <v>647</v>
      </c>
      <c r="X75" s="10">
        <v>643</v>
      </c>
      <c r="Y75" s="10">
        <v>47778</v>
      </c>
      <c r="Z75" s="10">
        <v>9540</v>
      </c>
      <c r="AA75" s="10">
        <v>8152</v>
      </c>
      <c r="AB75" s="10">
        <v>6705</v>
      </c>
      <c r="AC75" s="10">
        <v>5111</v>
      </c>
      <c r="AD75" s="10">
        <v>3829</v>
      </c>
      <c r="AE75" s="10">
        <v>3169</v>
      </c>
      <c r="AF75" s="10">
        <v>2498</v>
      </c>
      <c r="AG75" s="10">
        <v>1977</v>
      </c>
      <c r="AH75" s="10">
        <v>1854</v>
      </c>
      <c r="AI75" s="10">
        <v>1469</v>
      </c>
      <c r="AJ75" s="10">
        <v>923</v>
      </c>
      <c r="AK75" s="10">
        <v>688</v>
      </c>
      <c r="AL75" s="10">
        <v>448</v>
      </c>
      <c r="AM75" s="10">
        <v>453</v>
      </c>
      <c r="AN75" s="10">
        <v>394</v>
      </c>
      <c r="AO75" s="10">
        <v>285</v>
      </c>
      <c r="AP75" s="10">
        <v>283</v>
      </c>
      <c r="AQ75" s="10">
        <v>48962</v>
      </c>
      <c r="AR75" s="10">
        <v>9329</v>
      </c>
      <c r="AS75" s="10">
        <v>7894</v>
      </c>
      <c r="AT75" s="10">
        <v>6499</v>
      </c>
      <c r="AU75" s="10">
        <v>4904</v>
      </c>
      <c r="AV75" s="10">
        <v>3777</v>
      </c>
      <c r="AW75" s="10">
        <v>3331</v>
      </c>
      <c r="AX75" s="10">
        <v>2772</v>
      </c>
      <c r="AY75" s="10">
        <v>2351</v>
      </c>
      <c r="AZ75" s="10">
        <v>2095</v>
      </c>
      <c r="BA75" s="10">
        <v>1519</v>
      </c>
      <c r="BB75" s="10">
        <v>997</v>
      </c>
      <c r="BC75" s="10">
        <v>877</v>
      </c>
      <c r="BD75" s="10">
        <v>804</v>
      </c>
      <c r="BE75" s="10">
        <v>643</v>
      </c>
      <c r="BF75" s="10">
        <v>448</v>
      </c>
      <c r="BG75" s="10">
        <v>362</v>
      </c>
      <c r="BH75" s="10">
        <v>360</v>
      </c>
    </row>
  </sheetData>
  <autoFilter ref="A1:BH75" xr:uid="{B100E7FE-9C15-446E-81B2-375D43F15292}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D466-AC02-4A84-8B22-AAFF3C0AD39F}">
  <sheetPr>
    <outlinePr summaryBelow="0" summaryRight="0"/>
  </sheetPr>
  <dimension ref="A1:BI151"/>
  <sheetViews>
    <sheetView workbookViewId="0">
      <pane ySplit="1" topLeftCell="A2" activePane="bottomLeft" state="frozen"/>
      <selection pane="bottomLeft" activeCell="D2" sqref="D2"/>
    </sheetView>
  </sheetViews>
  <sheetFormatPr defaultColWidth="14.44140625" defaultRowHeight="15.75" customHeight="1" x14ac:dyDescent="0.25"/>
  <sheetData>
    <row r="1" spans="1:61" x14ac:dyDescent="0.25">
      <c r="A1" s="1" t="s">
        <v>37</v>
      </c>
      <c r="B1" s="13" t="s">
        <v>544</v>
      </c>
      <c r="C1" s="1" t="s">
        <v>38</v>
      </c>
      <c r="D1" s="13" t="s">
        <v>545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</row>
    <row r="2" spans="1:61" x14ac:dyDescent="0.25">
      <c r="A2" s="12" t="s">
        <v>3</v>
      </c>
      <c r="B2" s="12" t="s">
        <v>291</v>
      </c>
      <c r="C2" s="2" t="s">
        <v>138</v>
      </c>
      <c r="D2" s="2" t="s">
        <v>335</v>
      </c>
      <c r="E2" s="2" t="s">
        <v>139</v>
      </c>
      <c r="F2" s="2" t="s">
        <v>139</v>
      </c>
      <c r="G2" s="2">
        <v>2020</v>
      </c>
      <c r="H2" s="3">
        <v>74167</v>
      </c>
      <c r="I2" s="3">
        <v>13994</v>
      </c>
      <c r="J2" s="3">
        <v>12037</v>
      </c>
      <c r="K2" s="3">
        <v>9777</v>
      </c>
      <c r="L2" s="3">
        <v>8233</v>
      </c>
      <c r="M2" s="3">
        <v>6352</v>
      </c>
      <c r="N2" s="3">
        <v>4781</v>
      </c>
      <c r="O2" s="3">
        <v>4094</v>
      </c>
      <c r="P2" s="3">
        <v>3506</v>
      </c>
      <c r="Q2" s="3">
        <v>3026</v>
      </c>
      <c r="R2" s="3">
        <v>2465</v>
      </c>
      <c r="S2" s="3">
        <v>1558</v>
      </c>
      <c r="T2" s="3">
        <v>1318</v>
      </c>
      <c r="U2" s="3">
        <v>1032</v>
      </c>
      <c r="V2" s="3">
        <v>722</v>
      </c>
      <c r="W2" s="3">
        <v>630</v>
      </c>
      <c r="X2" s="3">
        <v>381</v>
      </c>
      <c r="Y2" s="3">
        <v>261</v>
      </c>
      <c r="Z2" s="3">
        <v>37141</v>
      </c>
      <c r="AA2" s="3">
        <v>7085</v>
      </c>
      <c r="AB2" s="3">
        <v>6114</v>
      </c>
      <c r="AC2" s="3">
        <v>4953</v>
      </c>
      <c r="AD2" s="3">
        <v>4327</v>
      </c>
      <c r="AE2" s="3">
        <v>3364</v>
      </c>
      <c r="AF2" s="3">
        <v>2360</v>
      </c>
      <c r="AG2" s="3">
        <v>2005</v>
      </c>
      <c r="AH2" s="3">
        <v>1612</v>
      </c>
      <c r="AI2" s="3">
        <v>1433</v>
      </c>
      <c r="AJ2" s="3">
        <v>1252</v>
      </c>
      <c r="AK2" s="3">
        <v>774</v>
      </c>
      <c r="AL2" s="3">
        <v>609</v>
      </c>
      <c r="AM2" s="3">
        <v>431</v>
      </c>
      <c r="AN2" s="3">
        <v>319</v>
      </c>
      <c r="AO2" s="3">
        <v>248</v>
      </c>
      <c r="AP2" s="3">
        <v>155</v>
      </c>
      <c r="AQ2" s="3">
        <v>100</v>
      </c>
      <c r="AR2" s="3">
        <v>37026</v>
      </c>
      <c r="AS2" s="3">
        <v>6909</v>
      </c>
      <c r="AT2" s="3">
        <v>5923</v>
      </c>
      <c r="AU2" s="3">
        <v>4824</v>
      </c>
      <c r="AV2" s="3">
        <v>3906</v>
      </c>
      <c r="AW2" s="3">
        <v>2988</v>
      </c>
      <c r="AX2" s="3">
        <v>2421</v>
      </c>
      <c r="AY2" s="3">
        <v>2089</v>
      </c>
      <c r="AZ2" s="3">
        <v>1894</v>
      </c>
      <c r="BA2" s="3">
        <v>1593</v>
      </c>
      <c r="BB2" s="3">
        <v>1213</v>
      </c>
      <c r="BC2" s="3">
        <v>784</v>
      </c>
      <c r="BD2" s="3">
        <v>709</v>
      </c>
      <c r="BE2" s="3">
        <v>601</v>
      </c>
      <c r="BF2" s="3">
        <v>403</v>
      </c>
      <c r="BG2" s="3">
        <v>382</v>
      </c>
      <c r="BH2" s="3">
        <v>226</v>
      </c>
      <c r="BI2" s="3">
        <v>161</v>
      </c>
    </row>
    <row r="3" spans="1:61" x14ac:dyDescent="0.25">
      <c r="A3" s="12" t="s">
        <v>3</v>
      </c>
      <c r="B3" s="12" t="s">
        <v>291</v>
      </c>
      <c r="C3" s="2" t="s">
        <v>138</v>
      </c>
      <c r="D3" s="2" t="s">
        <v>335</v>
      </c>
      <c r="E3" s="2" t="s">
        <v>139</v>
      </c>
      <c r="F3" s="2" t="s">
        <v>140</v>
      </c>
      <c r="G3" s="2">
        <v>2020</v>
      </c>
      <c r="H3" s="3">
        <v>59676</v>
      </c>
      <c r="I3" s="3">
        <v>11573</v>
      </c>
      <c r="J3" s="3">
        <v>10061</v>
      </c>
      <c r="K3" s="3">
        <v>7926</v>
      </c>
      <c r="L3" s="3">
        <v>5877</v>
      </c>
      <c r="M3" s="3">
        <v>5065</v>
      </c>
      <c r="N3" s="3">
        <v>4032</v>
      </c>
      <c r="O3" s="3">
        <v>3359</v>
      </c>
      <c r="P3" s="3">
        <v>2783</v>
      </c>
      <c r="Q3" s="3">
        <v>2413</v>
      </c>
      <c r="R3" s="3">
        <v>1836</v>
      </c>
      <c r="S3" s="3">
        <v>1294</v>
      </c>
      <c r="T3" s="3">
        <v>1032</v>
      </c>
      <c r="U3" s="3">
        <v>837</v>
      </c>
      <c r="V3" s="3">
        <v>577</v>
      </c>
      <c r="W3" s="3">
        <v>501</v>
      </c>
      <c r="X3" s="3">
        <v>303</v>
      </c>
      <c r="Y3" s="3">
        <v>207</v>
      </c>
      <c r="Z3" s="3">
        <v>30236</v>
      </c>
      <c r="AA3" s="3">
        <v>5786</v>
      </c>
      <c r="AB3" s="3">
        <v>5066</v>
      </c>
      <c r="AC3" s="3">
        <v>4009</v>
      </c>
      <c r="AD3" s="3">
        <v>3118</v>
      </c>
      <c r="AE3" s="3">
        <v>2720</v>
      </c>
      <c r="AF3" s="3">
        <v>2146</v>
      </c>
      <c r="AG3" s="3">
        <v>1694</v>
      </c>
      <c r="AH3" s="3">
        <v>1386</v>
      </c>
      <c r="AI3" s="3">
        <v>1194</v>
      </c>
      <c r="AJ3" s="3">
        <v>943</v>
      </c>
      <c r="AK3" s="3">
        <v>665</v>
      </c>
      <c r="AL3" s="3">
        <v>499</v>
      </c>
      <c r="AM3" s="3">
        <v>343</v>
      </c>
      <c r="AN3" s="3">
        <v>260</v>
      </c>
      <c r="AO3" s="3">
        <v>201</v>
      </c>
      <c r="AP3" s="3">
        <v>124</v>
      </c>
      <c r="AQ3" s="3">
        <v>82</v>
      </c>
      <c r="AR3" s="3">
        <v>29440</v>
      </c>
      <c r="AS3" s="3">
        <v>5787</v>
      </c>
      <c r="AT3" s="3">
        <v>4995</v>
      </c>
      <c r="AU3" s="3">
        <v>3917</v>
      </c>
      <c r="AV3" s="3">
        <v>2759</v>
      </c>
      <c r="AW3" s="3">
        <v>2345</v>
      </c>
      <c r="AX3" s="3">
        <v>1886</v>
      </c>
      <c r="AY3" s="3">
        <v>1665</v>
      </c>
      <c r="AZ3" s="3">
        <v>1397</v>
      </c>
      <c r="BA3" s="3">
        <v>1219</v>
      </c>
      <c r="BB3" s="3">
        <v>893</v>
      </c>
      <c r="BC3" s="3">
        <v>629</v>
      </c>
      <c r="BD3" s="3">
        <v>533</v>
      </c>
      <c r="BE3" s="3">
        <v>494</v>
      </c>
      <c r="BF3" s="3">
        <v>317</v>
      </c>
      <c r="BG3" s="3">
        <v>300</v>
      </c>
      <c r="BH3" s="3">
        <v>179</v>
      </c>
      <c r="BI3" s="3">
        <v>125</v>
      </c>
    </row>
    <row r="4" spans="1:61" x14ac:dyDescent="0.25">
      <c r="A4" s="12" t="s">
        <v>3</v>
      </c>
      <c r="B4" s="12" t="s">
        <v>291</v>
      </c>
      <c r="C4" s="2" t="s">
        <v>113</v>
      </c>
      <c r="D4" s="2" t="s">
        <v>404</v>
      </c>
      <c r="E4" s="2" t="s">
        <v>188</v>
      </c>
      <c r="F4" s="2" t="s">
        <v>189</v>
      </c>
      <c r="G4" s="2">
        <v>2020</v>
      </c>
      <c r="H4" s="3">
        <v>71500</v>
      </c>
      <c r="I4" s="3">
        <v>14722</v>
      </c>
      <c r="J4" s="3">
        <v>12593</v>
      </c>
      <c r="K4" s="3">
        <v>9429</v>
      </c>
      <c r="L4" s="3">
        <v>6936</v>
      </c>
      <c r="M4" s="3">
        <v>5859</v>
      </c>
      <c r="N4" s="3">
        <v>5046</v>
      </c>
      <c r="O4" s="3">
        <v>4124</v>
      </c>
      <c r="P4" s="3">
        <v>3368</v>
      </c>
      <c r="Q4" s="3">
        <v>2738</v>
      </c>
      <c r="R4" s="3">
        <v>1989</v>
      </c>
      <c r="S4" s="3">
        <v>1297</v>
      </c>
      <c r="T4" s="3">
        <v>918</v>
      </c>
      <c r="U4" s="3">
        <v>892</v>
      </c>
      <c r="V4" s="3">
        <v>624</v>
      </c>
      <c r="W4" s="3">
        <v>492</v>
      </c>
      <c r="X4" s="3">
        <v>298</v>
      </c>
      <c r="Y4" s="3">
        <v>175</v>
      </c>
      <c r="Z4" s="3">
        <v>35685</v>
      </c>
      <c r="AA4" s="3">
        <v>7549</v>
      </c>
      <c r="AB4" s="3">
        <v>6362</v>
      </c>
      <c r="AC4" s="3">
        <v>4838</v>
      </c>
      <c r="AD4" s="3">
        <v>3519</v>
      </c>
      <c r="AE4" s="3">
        <v>2947</v>
      </c>
      <c r="AF4" s="3">
        <v>2390</v>
      </c>
      <c r="AG4" s="3">
        <v>2128</v>
      </c>
      <c r="AH4" s="3">
        <v>1574</v>
      </c>
      <c r="AI4" s="3">
        <v>1331</v>
      </c>
      <c r="AJ4" s="3">
        <v>979</v>
      </c>
      <c r="AK4" s="3">
        <v>625</v>
      </c>
      <c r="AL4" s="3">
        <v>412</v>
      </c>
      <c r="AM4" s="3">
        <v>338</v>
      </c>
      <c r="AN4" s="3">
        <v>267</v>
      </c>
      <c r="AO4" s="3">
        <v>212</v>
      </c>
      <c r="AP4" s="3">
        <v>137</v>
      </c>
      <c r="AQ4" s="3">
        <v>77</v>
      </c>
      <c r="AR4" s="3">
        <v>35815</v>
      </c>
      <c r="AS4" s="3">
        <v>7173</v>
      </c>
      <c r="AT4" s="3">
        <v>6231</v>
      </c>
      <c r="AU4" s="3">
        <v>4591</v>
      </c>
      <c r="AV4" s="3">
        <v>3417</v>
      </c>
      <c r="AW4" s="3">
        <v>2912</v>
      </c>
      <c r="AX4" s="3">
        <v>2656</v>
      </c>
      <c r="AY4" s="3">
        <v>1996</v>
      </c>
      <c r="AZ4" s="3">
        <v>1794</v>
      </c>
      <c r="BA4" s="3">
        <v>1407</v>
      </c>
      <c r="BB4" s="3">
        <v>1010</v>
      </c>
      <c r="BC4" s="3">
        <v>672</v>
      </c>
      <c r="BD4" s="3">
        <v>506</v>
      </c>
      <c r="BE4" s="3">
        <v>554</v>
      </c>
      <c r="BF4" s="3">
        <v>357</v>
      </c>
      <c r="BG4" s="3">
        <v>280</v>
      </c>
      <c r="BH4" s="3">
        <v>161</v>
      </c>
      <c r="BI4" s="3">
        <v>98</v>
      </c>
    </row>
    <row r="5" spans="1:61" x14ac:dyDescent="0.25">
      <c r="A5" s="12" t="s">
        <v>3</v>
      </c>
      <c r="B5" s="12" t="s">
        <v>291</v>
      </c>
      <c r="C5" s="2" t="s">
        <v>113</v>
      </c>
      <c r="D5" s="2" t="s">
        <v>404</v>
      </c>
      <c r="E5" s="2" t="s">
        <v>188</v>
      </c>
      <c r="F5" s="2" t="s">
        <v>190</v>
      </c>
      <c r="G5" s="2">
        <v>2020</v>
      </c>
      <c r="H5" s="3">
        <v>68310</v>
      </c>
      <c r="I5" s="3">
        <v>13648</v>
      </c>
      <c r="J5" s="3">
        <v>12236</v>
      </c>
      <c r="K5" s="3">
        <v>9124</v>
      </c>
      <c r="L5" s="3">
        <v>6693</v>
      </c>
      <c r="M5" s="3">
        <v>5271</v>
      </c>
      <c r="N5" s="3">
        <v>4754</v>
      </c>
      <c r="O5" s="3">
        <v>3791</v>
      </c>
      <c r="P5" s="3">
        <v>3040</v>
      </c>
      <c r="Q5" s="3">
        <v>2727</v>
      </c>
      <c r="R5" s="3">
        <v>1910</v>
      </c>
      <c r="S5" s="3">
        <v>1352</v>
      </c>
      <c r="T5" s="3">
        <v>949</v>
      </c>
      <c r="U5" s="3">
        <v>978</v>
      </c>
      <c r="V5" s="3">
        <v>722</v>
      </c>
      <c r="W5" s="3">
        <v>569</v>
      </c>
      <c r="X5" s="3">
        <v>344</v>
      </c>
      <c r="Y5" s="3">
        <v>202</v>
      </c>
      <c r="Z5" s="3">
        <v>33543</v>
      </c>
      <c r="AA5" s="3">
        <v>6821</v>
      </c>
      <c r="AB5" s="3">
        <v>6158</v>
      </c>
      <c r="AC5" s="3">
        <v>4745</v>
      </c>
      <c r="AD5" s="3">
        <v>3412</v>
      </c>
      <c r="AE5" s="3">
        <v>2590</v>
      </c>
      <c r="AF5" s="3">
        <v>2221</v>
      </c>
      <c r="AG5" s="3">
        <v>1878</v>
      </c>
      <c r="AH5" s="3">
        <v>1440</v>
      </c>
      <c r="AI5" s="3">
        <v>1228</v>
      </c>
      <c r="AJ5" s="3">
        <v>894</v>
      </c>
      <c r="AK5" s="3">
        <v>591</v>
      </c>
      <c r="AL5" s="3">
        <v>420</v>
      </c>
      <c r="AM5" s="3">
        <v>357</v>
      </c>
      <c r="AN5" s="3">
        <v>303</v>
      </c>
      <c r="AO5" s="3">
        <v>241</v>
      </c>
      <c r="AP5" s="3">
        <v>156</v>
      </c>
      <c r="AQ5" s="3">
        <v>88</v>
      </c>
      <c r="AR5" s="3">
        <v>34767</v>
      </c>
      <c r="AS5" s="3">
        <v>6827</v>
      </c>
      <c r="AT5" s="3">
        <v>6078</v>
      </c>
      <c r="AU5" s="3">
        <v>4379</v>
      </c>
      <c r="AV5" s="3">
        <v>3281</v>
      </c>
      <c r="AW5" s="3">
        <v>2681</v>
      </c>
      <c r="AX5" s="3">
        <v>2533</v>
      </c>
      <c r="AY5" s="3">
        <v>1913</v>
      </c>
      <c r="AZ5" s="3">
        <v>1600</v>
      </c>
      <c r="BA5" s="3">
        <v>1499</v>
      </c>
      <c r="BB5" s="3">
        <v>1016</v>
      </c>
      <c r="BC5" s="3">
        <v>761</v>
      </c>
      <c r="BD5" s="3">
        <v>529</v>
      </c>
      <c r="BE5" s="3">
        <v>621</v>
      </c>
      <c r="BF5" s="3">
        <v>419</v>
      </c>
      <c r="BG5" s="3">
        <v>328</v>
      </c>
      <c r="BH5" s="3">
        <v>188</v>
      </c>
      <c r="BI5" s="3">
        <v>114</v>
      </c>
    </row>
    <row r="6" spans="1:61" x14ac:dyDescent="0.25">
      <c r="A6" s="12" t="s">
        <v>3</v>
      </c>
      <c r="B6" s="12" t="s">
        <v>291</v>
      </c>
      <c r="C6" s="2" t="s">
        <v>215</v>
      </c>
      <c r="D6" s="2" t="s">
        <v>422</v>
      </c>
      <c r="E6" s="2" t="s">
        <v>216</v>
      </c>
      <c r="F6" s="2" t="s">
        <v>216</v>
      </c>
      <c r="G6" s="2">
        <v>2020</v>
      </c>
      <c r="H6" s="3">
        <v>39952</v>
      </c>
      <c r="I6" s="3">
        <v>7946</v>
      </c>
      <c r="J6" s="3">
        <v>6555</v>
      </c>
      <c r="K6" s="3">
        <v>5196</v>
      </c>
      <c r="L6" s="3">
        <v>4201</v>
      </c>
      <c r="M6" s="3">
        <v>3243</v>
      </c>
      <c r="N6" s="3">
        <v>2691</v>
      </c>
      <c r="O6" s="3">
        <v>2181</v>
      </c>
      <c r="P6" s="3">
        <v>1701</v>
      </c>
      <c r="Q6" s="3">
        <v>1672</v>
      </c>
      <c r="R6" s="3">
        <v>1161</v>
      </c>
      <c r="S6" s="3">
        <v>792</v>
      </c>
      <c r="T6" s="3">
        <v>586</v>
      </c>
      <c r="U6" s="3">
        <v>511</v>
      </c>
      <c r="V6" s="3">
        <v>451</v>
      </c>
      <c r="W6" s="3">
        <v>399</v>
      </c>
      <c r="X6" s="3">
        <v>291</v>
      </c>
      <c r="Y6" s="3">
        <v>375</v>
      </c>
      <c r="Z6" s="3">
        <v>19580</v>
      </c>
      <c r="AA6" s="3">
        <v>4050</v>
      </c>
      <c r="AB6" s="3">
        <v>3291</v>
      </c>
      <c r="AC6" s="3">
        <v>2617</v>
      </c>
      <c r="AD6" s="3">
        <v>2127</v>
      </c>
      <c r="AE6" s="3">
        <v>1689</v>
      </c>
      <c r="AF6" s="3">
        <v>1329</v>
      </c>
      <c r="AG6" s="3">
        <v>1011</v>
      </c>
      <c r="AH6" s="3">
        <v>739</v>
      </c>
      <c r="AI6" s="3">
        <v>767</v>
      </c>
      <c r="AJ6" s="3">
        <v>581</v>
      </c>
      <c r="AK6" s="3">
        <v>337</v>
      </c>
      <c r="AL6" s="3">
        <v>250</v>
      </c>
      <c r="AM6" s="3">
        <v>198</v>
      </c>
      <c r="AN6" s="3">
        <v>165</v>
      </c>
      <c r="AO6" s="3">
        <v>173</v>
      </c>
      <c r="AP6" s="3">
        <v>111</v>
      </c>
      <c r="AQ6" s="3">
        <v>145</v>
      </c>
      <c r="AR6" s="3">
        <v>20372</v>
      </c>
      <c r="AS6" s="3">
        <v>3896</v>
      </c>
      <c r="AT6" s="3">
        <v>3264</v>
      </c>
      <c r="AU6" s="3">
        <v>2579</v>
      </c>
      <c r="AV6" s="3">
        <v>2074</v>
      </c>
      <c r="AW6" s="3">
        <v>1554</v>
      </c>
      <c r="AX6" s="3">
        <v>1362</v>
      </c>
      <c r="AY6" s="3">
        <v>1170</v>
      </c>
      <c r="AZ6" s="3">
        <v>962</v>
      </c>
      <c r="BA6" s="3">
        <v>905</v>
      </c>
      <c r="BB6" s="3">
        <v>580</v>
      </c>
      <c r="BC6" s="3">
        <v>455</v>
      </c>
      <c r="BD6" s="3">
        <v>336</v>
      </c>
      <c r="BE6" s="3">
        <v>313</v>
      </c>
      <c r="BF6" s="3">
        <v>286</v>
      </c>
      <c r="BG6" s="3">
        <v>226</v>
      </c>
      <c r="BH6" s="3">
        <v>180</v>
      </c>
      <c r="BI6" s="3">
        <v>230</v>
      </c>
    </row>
    <row r="7" spans="1:61" x14ac:dyDescent="0.25">
      <c r="A7" s="12" t="s">
        <v>3</v>
      </c>
      <c r="B7" s="12" t="s">
        <v>291</v>
      </c>
      <c r="C7" s="2" t="s">
        <v>96</v>
      </c>
      <c r="D7" s="2" t="s">
        <v>290</v>
      </c>
      <c r="E7" s="2" t="s">
        <v>97</v>
      </c>
      <c r="F7" s="2" t="s">
        <v>98</v>
      </c>
      <c r="G7" s="2">
        <v>2020</v>
      </c>
      <c r="H7" s="3">
        <v>120511</v>
      </c>
      <c r="I7" s="3">
        <v>22751</v>
      </c>
      <c r="J7" s="3">
        <v>19420</v>
      </c>
      <c r="K7" s="3">
        <v>16589</v>
      </c>
      <c r="L7" s="3">
        <v>13169</v>
      </c>
      <c r="M7" s="3">
        <v>10362</v>
      </c>
      <c r="N7" s="3">
        <v>7970</v>
      </c>
      <c r="O7" s="3">
        <v>6693</v>
      </c>
      <c r="P7" s="3">
        <v>5709</v>
      </c>
      <c r="Q7" s="3">
        <v>4812</v>
      </c>
      <c r="R7" s="3">
        <v>3608</v>
      </c>
      <c r="S7" s="3">
        <v>2635</v>
      </c>
      <c r="T7" s="3">
        <v>2036</v>
      </c>
      <c r="U7" s="3">
        <v>1770</v>
      </c>
      <c r="V7" s="3">
        <v>1134</v>
      </c>
      <c r="W7" s="3">
        <v>858</v>
      </c>
      <c r="X7" s="3">
        <v>559</v>
      </c>
      <c r="Y7" s="3">
        <v>436</v>
      </c>
      <c r="Z7" s="3">
        <v>60984</v>
      </c>
      <c r="AA7" s="3">
        <v>11440</v>
      </c>
      <c r="AB7" s="3">
        <v>9922</v>
      </c>
      <c r="AC7" s="3">
        <v>8506</v>
      </c>
      <c r="AD7" s="3">
        <v>6872</v>
      </c>
      <c r="AE7" s="3">
        <v>5399</v>
      </c>
      <c r="AF7" s="3">
        <v>4036</v>
      </c>
      <c r="AG7" s="3">
        <v>3298</v>
      </c>
      <c r="AH7" s="3">
        <v>2833</v>
      </c>
      <c r="AI7" s="3">
        <v>2357</v>
      </c>
      <c r="AJ7" s="3">
        <v>1814</v>
      </c>
      <c r="AK7" s="3">
        <v>1310</v>
      </c>
      <c r="AL7" s="3">
        <v>974</v>
      </c>
      <c r="AM7" s="3">
        <v>811</v>
      </c>
      <c r="AN7" s="3">
        <v>561</v>
      </c>
      <c r="AO7" s="3">
        <v>409</v>
      </c>
      <c r="AP7" s="3">
        <v>254</v>
      </c>
      <c r="AQ7" s="3">
        <v>188</v>
      </c>
      <c r="AR7" s="3">
        <v>59527</v>
      </c>
      <c r="AS7" s="3">
        <v>11311</v>
      </c>
      <c r="AT7" s="3">
        <v>9498</v>
      </c>
      <c r="AU7" s="3">
        <v>8083</v>
      </c>
      <c r="AV7" s="3">
        <v>6297</v>
      </c>
      <c r="AW7" s="3">
        <v>4963</v>
      </c>
      <c r="AX7" s="3">
        <v>3934</v>
      </c>
      <c r="AY7" s="3">
        <v>3395</v>
      </c>
      <c r="AZ7" s="3">
        <v>2876</v>
      </c>
      <c r="BA7" s="3">
        <v>2455</v>
      </c>
      <c r="BB7" s="3">
        <v>1794</v>
      </c>
      <c r="BC7" s="3">
        <v>1325</v>
      </c>
      <c r="BD7" s="3">
        <v>1062</v>
      </c>
      <c r="BE7" s="3">
        <v>959</v>
      </c>
      <c r="BF7" s="3">
        <v>573</v>
      </c>
      <c r="BG7" s="3">
        <v>449</v>
      </c>
      <c r="BH7" s="3">
        <v>305</v>
      </c>
      <c r="BI7" s="3">
        <v>248</v>
      </c>
    </row>
    <row r="8" spans="1:61" x14ac:dyDescent="0.25">
      <c r="A8" s="12" t="s">
        <v>3</v>
      </c>
      <c r="B8" s="12" t="s">
        <v>291</v>
      </c>
      <c r="C8" s="2" t="s">
        <v>96</v>
      </c>
      <c r="D8" s="2" t="s">
        <v>290</v>
      </c>
      <c r="E8" s="2" t="s">
        <v>97</v>
      </c>
      <c r="F8" s="2" t="s">
        <v>99</v>
      </c>
      <c r="G8" s="2">
        <v>2020</v>
      </c>
      <c r="H8" s="3">
        <v>107706</v>
      </c>
      <c r="I8" s="3">
        <v>19104</v>
      </c>
      <c r="J8" s="3">
        <v>16284</v>
      </c>
      <c r="K8" s="3">
        <v>14671</v>
      </c>
      <c r="L8" s="3">
        <v>11803</v>
      </c>
      <c r="M8" s="3">
        <v>9732</v>
      </c>
      <c r="N8" s="3">
        <v>7213</v>
      </c>
      <c r="O8" s="3">
        <v>6282</v>
      </c>
      <c r="P8" s="3">
        <v>5286</v>
      </c>
      <c r="Q8" s="3">
        <v>4596</v>
      </c>
      <c r="R8" s="3">
        <v>3300</v>
      </c>
      <c r="S8" s="3">
        <v>2567</v>
      </c>
      <c r="T8" s="3">
        <v>1939</v>
      </c>
      <c r="U8" s="3">
        <v>1665</v>
      </c>
      <c r="V8" s="3">
        <v>1233</v>
      </c>
      <c r="W8" s="3">
        <v>936</v>
      </c>
      <c r="X8" s="3">
        <v>614</v>
      </c>
      <c r="Y8" s="3">
        <v>481</v>
      </c>
      <c r="Z8" s="3">
        <v>54393</v>
      </c>
      <c r="AA8" s="3">
        <v>9616</v>
      </c>
      <c r="AB8" s="3">
        <v>8339</v>
      </c>
      <c r="AC8" s="3">
        <v>7470</v>
      </c>
      <c r="AD8" s="3">
        <v>6138</v>
      </c>
      <c r="AE8" s="3">
        <v>4980</v>
      </c>
      <c r="AF8" s="3">
        <v>3793</v>
      </c>
      <c r="AG8" s="3">
        <v>3127</v>
      </c>
      <c r="AH8" s="3">
        <v>2663</v>
      </c>
      <c r="AI8" s="3">
        <v>2346</v>
      </c>
      <c r="AJ8" s="3">
        <v>1689</v>
      </c>
      <c r="AK8" s="3">
        <v>1197</v>
      </c>
      <c r="AL8" s="3">
        <v>843</v>
      </c>
      <c r="AM8" s="3">
        <v>761</v>
      </c>
      <c r="AN8" s="3">
        <v>567</v>
      </c>
      <c r="AO8" s="3">
        <v>414</v>
      </c>
      <c r="AP8" s="3">
        <v>259</v>
      </c>
      <c r="AQ8" s="3">
        <v>191</v>
      </c>
      <c r="AR8" s="3">
        <v>53313</v>
      </c>
      <c r="AS8" s="3">
        <v>9488</v>
      </c>
      <c r="AT8" s="3">
        <v>7945</v>
      </c>
      <c r="AU8" s="3">
        <v>7201</v>
      </c>
      <c r="AV8" s="3">
        <v>5665</v>
      </c>
      <c r="AW8" s="3">
        <v>4752</v>
      </c>
      <c r="AX8" s="3">
        <v>3420</v>
      </c>
      <c r="AY8" s="3">
        <v>3155</v>
      </c>
      <c r="AZ8" s="3">
        <v>2623</v>
      </c>
      <c r="BA8" s="3">
        <v>2250</v>
      </c>
      <c r="BB8" s="3">
        <v>1611</v>
      </c>
      <c r="BC8" s="3">
        <v>1370</v>
      </c>
      <c r="BD8" s="3">
        <v>1096</v>
      </c>
      <c r="BE8" s="3">
        <v>904</v>
      </c>
      <c r="BF8" s="3">
        <v>666</v>
      </c>
      <c r="BG8" s="3">
        <v>522</v>
      </c>
      <c r="BH8" s="3">
        <v>355</v>
      </c>
      <c r="BI8" s="3">
        <v>290</v>
      </c>
    </row>
    <row r="9" spans="1:61" x14ac:dyDescent="0.25">
      <c r="A9" s="12" t="s">
        <v>3</v>
      </c>
      <c r="B9" s="12" t="s">
        <v>291</v>
      </c>
      <c r="C9" s="2" t="s">
        <v>96</v>
      </c>
      <c r="D9" s="2" t="s">
        <v>290</v>
      </c>
      <c r="E9" s="2" t="s">
        <v>97</v>
      </c>
      <c r="F9" s="2" t="s">
        <v>100</v>
      </c>
      <c r="G9" s="2">
        <v>2020</v>
      </c>
      <c r="H9" s="3">
        <v>144100</v>
      </c>
      <c r="I9" s="3">
        <v>27858</v>
      </c>
      <c r="J9" s="3">
        <v>23375</v>
      </c>
      <c r="K9" s="3">
        <v>20168</v>
      </c>
      <c r="L9" s="3">
        <v>15638</v>
      </c>
      <c r="M9" s="3">
        <v>12600</v>
      </c>
      <c r="N9" s="3">
        <v>9353</v>
      </c>
      <c r="O9" s="3">
        <v>8121</v>
      </c>
      <c r="P9" s="3">
        <v>6628</v>
      </c>
      <c r="Q9" s="3">
        <v>5798</v>
      </c>
      <c r="R9" s="3">
        <v>4342</v>
      </c>
      <c r="S9" s="3">
        <v>2973</v>
      </c>
      <c r="T9" s="3">
        <v>2075</v>
      </c>
      <c r="U9" s="3">
        <v>1698</v>
      </c>
      <c r="V9" s="3">
        <v>1317</v>
      </c>
      <c r="W9" s="3">
        <v>997</v>
      </c>
      <c r="X9" s="3">
        <v>652</v>
      </c>
      <c r="Y9" s="3">
        <v>507</v>
      </c>
      <c r="Z9" s="3">
        <v>72200</v>
      </c>
      <c r="AA9" s="3">
        <v>14053</v>
      </c>
      <c r="AB9" s="3">
        <v>11585</v>
      </c>
      <c r="AC9" s="3">
        <v>10278</v>
      </c>
      <c r="AD9" s="3">
        <v>8027</v>
      </c>
      <c r="AE9" s="3">
        <v>6546</v>
      </c>
      <c r="AF9" s="3">
        <v>4654</v>
      </c>
      <c r="AG9" s="3">
        <v>3937</v>
      </c>
      <c r="AH9" s="3">
        <v>3193</v>
      </c>
      <c r="AI9" s="3">
        <v>2907</v>
      </c>
      <c r="AJ9" s="3">
        <v>2166</v>
      </c>
      <c r="AK9" s="3">
        <v>1521</v>
      </c>
      <c r="AL9" s="3">
        <v>982</v>
      </c>
      <c r="AM9" s="3">
        <v>744</v>
      </c>
      <c r="AN9" s="3">
        <v>638</v>
      </c>
      <c r="AO9" s="3">
        <v>465</v>
      </c>
      <c r="AP9" s="3">
        <v>289</v>
      </c>
      <c r="AQ9" s="3">
        <v>215</v>
      </c>
      <c r="AR9" s="3">
        <v>71900</v>
      </c>
      <c r="AS9" s="3">
        <v>13805</v>
      </c>
      <c r="AT9" s="3">
        <v>11790</v>
      </c>
      <c r="AU9" s="3">
        <v>9890</v>
      </c>
      <c r="AV9" s="3">
        <v>7611</v>
      </c>
      <c r="AW9" s="3">
        <v>6054</v>
      </c>
      <c r="AX9" s="3">
        <v>4699</v>
      </c>
      <c r="AY9" s="3">
        <v>4184</v>
      </c>
      <c r="AZ9" s="3">
        <v>3435</v>
      </c>
      <c r="BA9" s="3">
        <v>2891</v>
      </c>
      <c r="BB9" s="3">
        <v>2176</v>
      </c>
      <c r="BC9" s="3">
        <v>1452</v>
      </c>
      <c r="BD9" s="3">
        <v>1093</v>
      </c>
      <c r="BE9" s="3">
        <v>954</v>
      </c>
      <c r="BF9" s="3">
        <v>679</v>
      </c>
      <c r="BG9" s="3">
        <v>532</v>
      </c>
      <c r="BH9" s="3">
        <v>363</v>
      </c>
      <c r="BI9" s="3">
        <v>292</v>
      </c>
    </row>
    <row r="10" spans="1:61" x14ac:dyDescent="0.25">
      <c r="A10" s="12" t="s">
        <v>3</v>
      </c>
      <c r="B10" s="12" t="s">
        <v>291</v>
      </c>
      <c r="C10" s="2" t="s">
        <v>158</v>
      </c>
      <c r="D10" s="2" t="s">
        <v>363</v>
      </c>
      <c r="E10" s="2" t="s">
        <v>159</v>
      </c>
      <c r="F10" s="2" t="s">
        <v>159</v>
      </c>
      <c r="G10" s="2">
        <v>2020</v>
      </c>
      <c r="H10" s="3">
        <v>151048</v>
      </c>
      <c r="I10" s="3">
        <v>30220</v>
      </c>
      <c r="J10" s="3">
        <v>23225</v>
      </c>
      <c r="K10" s="3">
        <v>18370</v>
      </c>
      <c r="L10" s="3">
        <v>13675</v>
      </c>
      <c r="M10" s="3">
        <v>11993</v>
      </c>
      <c r="N10" s="3">
        <v>12146</v>
      </c>
      <c r="O10" s="3">
        <v>9720</v>
      </c>
      <c r="P10" s="3">
        <v>7697</v>
      </c>
      <c r="Q10" s="3">
        <v>7181</v>
      </c>
      <c r="R10" s="3">
        <v>5249</v>
      </c>
      <c r="S10" s="3">
        <v>4087</v>
      </c>
      <c r="T10" s="3">
        <v>2843</v>
      </c>
      <c r="U10" s="3">
        <v>2039</v>
      </c>
      <c r="V10" s="3">
        <v>1137</v>
      </c>
      <c r="W10" s="3">
        <v>761</v>
      </c>
      <c r="X10" s="3">
        <v>464</v>
      </c>
      <c r="Y10" s="3">
        <v>241</v>
      </c>
      <c r="Z10" s="3">
        <v>75726</v>
      </c>
      <c r="AA10" s="3">
        <v>15126</v>
      </c>
      <c r="AB10" s="3">
        <v>11683</v>
      </c>
      <c r="AC10" s="3">
        <v>9303</v>
      </c>
      <c r="AD10" s="3">
        <v>6894</v>
      </c>
      <c r="AE10" s="3">
        <v>5754</v>
      </c>
      <c r="AF10" s="3">
        <v>5809</v>
      </c>
      <c r="AG10" s="3">
        <v>5088</v>
      </c>
      <c r="AH10" s="3">
        <v>3899</v>
      </c>
      <c r="AI10" s="3">
        <v>3651</v>
      </c>
      <c r="AJ10" s="3">
        <v>2804</v>
      </c>
      <c r="AK10" s="3">
        <v>2144</v>
      </c>
      <c r="AL10" s="3">
        <v>1367</v>
      </c>
      <c r="AM10" s="3">
        <v>990</v>
      </c>
      <c r="AN10" s="3">
        <v>568</v>
      </c>
      <c r="AO10" s="3">
        <v>328</v>
      </c>
      <c r="AP10" s="3">
        <v>218</v>
      </c>
      <c r="AQ10" s="3">
        <v>100</v>
      </c>
      <c r="AR10" s="3">
        <v>75322</v>
      </c>
      <c r="AS10" s="3">
        <v>15094</v>
      </c>
      <c r="AT10" s="3">
        <v>11542</v>
      </c>
      <c r="AU10" s="3">
        <v>9067</v>
      </c>
      <c r="AV10" s="3">
        <v>6781</v>
      </c>
      <c r="AW10" s="3">
        <v>6239</v>
      </c>
      <c r="AX10" s="3">
        <v>6337</v>
      </c>
      <c r="AY10" s="3">
        <v>4632</v>
      </c>
      <c r="AZ10" s="3">
        <v>3798</v>
      </c>
      <c r="BA10" s="3">
        <v>3530</v>
      </c>
      <c r="BB10" s="3">
        <v>2445</v>
      </c>
      <c r="BC10" s="3">
        <v>1943</v>
      </c>
      <c r="BD10" s="3">
        <v>1476</v>
      </c>
      <c r="BE10" s="3">
        <v>1049</v>
      </c>
      <c r="BF10" s="3">
        <v>569</v>
      </c>
      <c r="BG10" s="3">
        <v>433</v>
      </c>
      <c r="BH10" s="3">
        <v>246</v>
      </c>
      <c r="BI10" s="3">
        <v>141</v>
      </c>
    </row>
    <row r="11" spans="1:61" x14ac:dyDescent="0.25">
      <c r="A11" s="12" t="s">
        <v>3</v>
      </c>
      <c r="B11" s="12" t="s">
        <v>291</v>
      </c>
      <c r="C11" s="2" t="s">
        <v>114</v>
      </c>
      <c r="D11" s="2" t="s">
        <v>313</v>
      </c>
      <c r="E11" s="2" t="s">
        <v>115</v>
      </c>
      <c r="F11" s="2" t="s">
        <v>115</v>
      </c>
      <c r="G11" s="2">
        <v>2020</v>
      </c>
      <c r="H11" s="3">
        <v>121194</v>
      </c>
      <c r="I11" s="3">
        <v>18551</v>
      </c>
      <c r="J11" s="3">
        <v>15570</v>
      </c>
      <c r="K11" s="3">
        <v>15318</v>
      </c>
      <c r="L11" s="3">
        <v>14574</v>
      </c>
      <c r="M11" s="3">
        <v>12859</v>
      </c>
      <c r="N11" s="3">
        <v>11395</v>
      </c>
      <c r="O11" s="3">
        <v>8478</v>
      </c>
      <c r="P11" s="3">
        <v>6319</v>
      </c>
      <c r="Q11" s="3">
        <v>5625</v>
      </c>
      <c r="R11" s="3">
        <v>4155</v>
      </c>
      <c r="S11" s="3">
        <v>2949</v>
      </c>
      <c r="T11" s="3">
        <v>2141</v>
      </c>
      <c r="U11" s="3">
        <v>1332</v>
      </c>
      <c r="V11" s="3">
        <v>766</v>
      </c>
      <c r="W11" s="3">
        <v>610</v>
      </c>
      <c r="X11" s="3">
        <v>327</v>
      </c>
      <c r="Y11" s="3">
        <v>225</v>
      </c>
      <c r="Z11" s="3">
        <v>62703</v>
      </c>
      <c r="AA11" s="3">
        <v>9397</v>
      </c>
      <c r="AB11" s="3">
        <v>7762</v>
      </c>
      <c r="AC11" s="3">
        <v>7590</v>
      </c>
      <c r="AD11" s="3">
        <v>7367</v>
      </c>
      <c r="AE11" s="3">
        <v>6712</v>
      </c>
      <c r="AF11" s="3">
        <v>6262</v>
      </c>
      <c r="AG11" s="3">
        <v>4612</v>
      </c>
      <c r="AH11" s="3">
        <v>3220</v>
      </c>
      <c r="AI11" s="3">
        <v>3061</v>
      </c>
      <c r="AJ11" s="3">
        <v>2248</v>
      </c>
      <c r="AK11" s="3">
        <v>1660</v>
      </c>
      <c r="AL11" s="3">
        <v>1170</v>
      </c>
      <c r="AM11" s="3">
        <v>727</v>
      </c>
      <c r="AN11" s="3">
        <v>385</v>
      </c>
      <c r="AO11" s="3">
        <v>298</v>
      </c>
      <c r="AP11" s="3">
        <v>143</v>
      </c>
      <c r="AQ11" s="3">
        <v>89</v>
      </c>
      <c r="AR11" s="3">
        <v>58491</v>
      </c>
      <c r="AS11" s="3">
        <v>9154</v>
      </c>
      <c r="AT11" s="3">
        <v>7808</v>
      </c>
      <c r="AU11" s="3">
        <v>7728</v>
      </c>
      <c r="AV11" s="3">
        <v>7207</v>
      </c>
      <c r="AW11" s="3">
        <v>6147</v>
      </c>
      <c r="AX11" s="3">
        <v>5133</v>
      </c>
      <c r="AY11" s="3">
        <v>3866</v>
      </c>
      <c r="AZ11" s="3">
        <v>3099</v>
      </c>
      <c r="BA11" s="3">
        <v>2564</v>
      </c>
      <c r="BB11" s="3">
        <v>1907</v>
      </c>
      <c r="BC11" s="3">
        <v>1289</v>
      </c>
      <c r="BD11" s="3">
        <v>971</v>
      </c>
      <c r="BE11" s="3">
        <v>605</v>
      </c>
      <c r="BF11" s="3">
        <v>381</v>
      </c>
      <c r="BG11" s="3">
        <v>312</v>
      </c>
      <c r="BH11" s="3">
        <v>184</v>
      </c>
      <c r="BI11" s="3">
        <v>136</v>
      </c>
    </row>
    <row r="12" spans="1:61" x14ac:dyDescent="0.25">
      <c r="A12" s="12" t="s">
        <v>3</v>
      </c>
      <c r="B12" s="12" t="s">
        <v>291</v>
      </c>
      <c r="C12" s="2" t="s">
        <v>199</v>
      </c>
      <c r="D12" s="2" t="s">
        <v>446</v>
      </c>
      <c r="E12" s="2" t="s">
        <v>200</v>
      </c>
      <c r="F12" s="2" t="s">
        <v>200</v>
      </c>
      <c r="G12" s="2">
        <v>2020</v>
      </c>
      <c r="H12" s="3">
        <v>96843</v>
      </c>
      <c r="I12" s="3">
        <v>19718</v>
      </c>
      <c r="J12" s="3">
        <v>16515</v>
      </c>
      <c r="K12" s="3">
        <v>12059</v>
      </c>
      <c r="L12" s="3">
        <v>9225</v>
      </c>
      <c r="M12" s="3">
        <v>7130</v>
      </c>
      <c r="N12" s="3">
        <v>6301</v>
      </c>
      <c r="O12" s="3">
        <v>5040</v>
      </c>
      <c r="P12" s="3">
        <v>5028</v>
      </c>
      <c r="Q12" s="3">
        <v>4512</v>
      </c>
      <c r="R12" s="3">
        <v>3309</v>
      </c>
      <c r="S12" s="3">
        <v>2330</v>
      </c>
      <c r="T12" s="3">
        <v>1714</v>
      </c>
      <c r="U12" s="3">
        <v>1445</v>
      </c>
      <c r="V12" s="3">
        <v>1056</v>
      </c>
      <c r="W12" s="3">
        <v>769</v>
      </c>
      <c r="X12" s="3">
        <v>424</v>
      </c>
      <c r="Y12" s="3">
        <v>268</v>
      </c>
      <c r="Z12" s="3">
        <v>47937</v>
      </c>
      <c r="AA12" s="3">
        <v>9968</v>
      </c>
      <c r="AB12" s="3">
        <v>8358</v>
      </c>
      <c r="AC12" s="3">
        <v>6268</v>
      </c>
      <c r="AD12" s="3">
        <v>4656</v>
      </c>
      <c r="AE12" s="3">
        <v>3398</v>
      </c>
      <c r="AF12" s="3">
        <v>3081</v>
      </c>
      <c r="AG12" s="3">
        <v>2373</v>
      </c>
      <c r="AH12" s="3">
        <v>2342</v>
      </c>
      <c r="AI12" s="3">
        <v>2164</v>
      </c>
      <c r="AJ12" s="3">
        <v>1618</v>
      </c>
      <c r="AK12" s="3">
        <v>1240</v>
      </c>
      <c r="AL12" s="3">
        <v>808</v>
      </c>
      <c r="AM12" s="3">
        <v>582</v>
      </c>
      <c r="AN12" s="3">
        <v>442</v>
      </c>
      <c r="AO12" s="3">
        <v>351</v>
      </c>
      <c r="AP12" s="3">
        <v>181</v>
      </c>
      <c r="AQ12" s="3">
        <v>107</v>
      </c>
      <c r="AR12" s="3">
        <v>48906</v>
      </c>
      <c r="AS12" s="3">
        <v>9750</v>
      </c>
      <c r="AT12" s="3">
        <v>8157</v>
      </c>
      <c r="AU12" s="3">
        <v>5791</v>
      </c>
      <c r="AV12" s="3">
        <v>4569</v>
      </c>
      <c r="AW12" s="3">
        <v>3732</v>
      </c>
      <c r="AX12" s="3">
        <v>3220</v>
      </c>
      <c r="AY12" s="3">
        <v>2667</v>
      </c>
      <c r="AZ12" s="3">
        <v>2686</v>
      </c>
      <c r="BA12" s="3">
        <v>2348</v>
      </c>
      <c r="BB12" s="3">
        <v>1691</v>
      </c>
      <c r="BC12" s="3">
        <v>1090</v>
      </c>
      <c r="BD12" s="3">
        <v>906</v>
      </c>
      <c r="BE12" s="3">
        <v>863</v>
      </c>
      <c r="BF12" s="3">
        <v>614</v>
      </c>
      <c r="BG12" s="3">
        <v>418</v>
      </c>
      <c r="BH12" s="3">
        <v>243</v>
      </c>
      <c r="BI12" s="3">
        <v>161</v>
      </c>
    </row>
    <row r="13" spans="1:61" x14ac:dyDescent="0.25">
      <c r="A13" s="12" t="s">
        <v>3</v>
      </c>
      <c r="B13" s="12" t="s">
        <v>291</v>
      </c>
      <c r="C13" s="2" t="s">
        <v>114</v>
      </c>
      <c r="D13" s="2" t="s">
        <v>313</v>
      </c>
      <c r="E13" s="2" t="s">
        <v>116</v>
      </c>
      <c r="F13" s="2" t="s">
        <v>116</v>
      </c>
      <c r="G13" s="2">
        <v>2020</v>
      </c>
      <c r="H13" s="3">
        <v>157508</v>
      </c>
      <c r="I13" s="3">
        <v>24622</v>
      </c>
      <c r="J13" s="3">
        <v>21093</v>
      </c>
      <c r="K13" s="3">
        <v>19543</v>
      </c>
      <c r="L13" s="3">
        <v>17832</v>
      </c>
      <c r="M13" s="3">
        <v>15466</v>
      </c>
      <c r="N13" s="3">
        <v>13322</v>
      </c>
      <c r="O13" s="3">
        <v>10683</v>
      </c>
      <c r="P13" s="3">
        <v>8530</v>
      </c>
      <c r="Q13" s="3">
        <v>7221</v>
      </c>
      <c r="R13" s="3">
        <v>5331</v>
      </c>
      <c r="S13" s="3">
        <v>4175</v>
      </c>
      <c r="T13" s="3">
        <v>3419</v>
      </c>
      <c r="U13" s="3">
        <v>2453</v>
      </c>
      <c r="V13" s="3">
        <v>1615</v>
      </c>
      <c r="W13" s="3">
        <v>1101</v>
      </c>
      <c r="X13" s="3">
        <v>627</v>
      </c>
      <c r="Y13" s="3">
        <v>475</v>
      </c>
      <c r="Z13" s="3">
        <v>79334</v>
      </c>
      <c r="AA13" s="3">
        <v>12445</v>
      </c>
      <c r="AB13" s="3">
        <v>10669</v>
      </c>
      <c r="AC13" s="3">
        <v>9714</v>
      </c>
      <c r="AD13" s="3">
        <v>8742</v>
      </c>
      <c r="AE13" s="3">
        <v>7811</v>
      </c>
      <c r="AF13" s="3">
        <v>6821</v>
      </c>
      <c r="AG13" s="3">
        <v>5512</v>
      </c>
      <c r="AH13" s="3">
        <v>4470</v>
      </c>
      <c r="AI13" s="3">
        <v>3680</v>
      </c>
      <c r="AJ13" s="3">
        <v>2645</v>
      </c>
      <c r="AK13" s="3">
        <v>2111</v>
      </c>
      <c r="AL13" s="3">
        <v>1668</v>
      </c>
      <c r="AM13" s="3">
        <v>1207</v>
      </c>
      <c r="AN13" s="3">
        <v>843</v>
      </c>
      <c r="AO13" s="3">
        <v>520</v>
      </c>
      <c r="AP13" s="3">
        <v>291</v>
      </c>
      <c r="AQ13" s="3">
        <v>185</v>
      </c>
      <c r="AR13" s="3">
        <v>78174</v>
      </c>
      <c r="AS13" s="3">
        <v>12177</v>
      </c>
      <c r="AT13" s="3">
        <v>10424</v>
      </c>
      <c r="AU13" s="3">
        <v>9829</v>
      </c>
      <c r="AV13" s="3">
        <v>9090</v>
      </c>
      <c r="AW13" s="3">
        <v>7655</v>
      </c>
      <c r="AX13" s="3">
        <v>6501</v>
      </c>
      <c r="AY13" s="3">
        <v>5171</v>
      </c>
      <c r="AZ13" s="3">
        <v>4060</v>
      </c>
      <c r="BA13" s="3">
        <v>3541</v>
      </c>
      <c r="BB13" s="3">
        <v>2686</v>
      </c>
      <c r="BC13" s="3">
        <v>2064</v>
      </c>
      <c r="BD13" s="3">
        <v>1751</v>
      </c>
      <c r="BE13" s="3">
        <v>1246</v>
      </c>
      <c r="BF13" s="3">
        <v>772</v>
      </c>
      <c r="BG13" s="3">
        <v>581</v>
      </c>
      <c r="BH13" s="3">
        <v>336</v>
      </c>
      <c r="BI13" s="3">
        <v>290</v>
      </c>
    </row>
    <row r="14" spans="1:61" x14ac:dyDescent="0.25">
      <c r="A14" s="12" t="s">
        <v>3</v>
      </c>
      <c r="B14" s="12" t="s">
        <v>291</v>
      </c>
      <c r="C14" s="2" t="s">
        <v>114</v>
      </c>
      <c r="D14" s="2" t="s">
        <v>313</v>
      </c>
      <c r="E14" s="2" t="s">
        <v>116</v>
      </c>
      <c r="F14" s="2" t="s">
        <v>117</v>
      </c>
      <c r="G14" s="2">
        <v>2020</v>
      </c>
      <c r="H14" s="3">
        <v>107807</v>
      </c>
      <c r="I14" s="3">
        <v>15219</v>
      </c>
      <c r="J14" s="3">
        <v>13141</v>
      </c>
      <c r="K14" s="3">
        <v>14099</v>
      </c>
      <c r="L14" s="3">
        <v>13902</v>
      </c>
      <c r="M14" s="3">
        <v>11349</v>
      </c>
      <c r="N14" s="3">
        <v>9642</v>
      </c>
      <c r="O14" s="3">
        <v>7337</v>
      </c>
      <c r="P14" s="3">
        <v>5830</v>
      </c>
      <c r="Q14" s="3">
        <v>5053</v>
      </c>
      <c r="R14" s="3">
        <v>4113</v>
      </c>
      <c r="S14" s="3">
        <v>3039</v>
      </c>
      <c r="T14" s="3">
        <v>2236</v>
      </c>
      <c r="U14" s="3">
        <v>1371</v>
      </c>
      <c r="V14" s="3">
        <v>624</v>
      </c>
      <c r="W14" s="3">
        <v>427</v>
      </c>
      <c r="X14" s="3">
        <v>242</v>
      </c>
      <c r="Y14" s="3">
        <v>183</v>
      </c>
      <c r="Z14" s="3">
        <v>55363</v>
      </c>
      <c r="AA14" s="3">
        <v>7785</v>
      </c>
      <c r="AB14" s="3">
        <v>6553</v>
      </c>
      <c r="AC14" s="3">
        <v>7015</v>
      </c>
      <c r="AD14" s="3">
        <v>6955</v>
      </c>
      <c r="AE14" s="3">
        <v>5932</v>
      </c>
      <c r="AF14" s="3">
        <v>5183</v>
      </c>
      <c r="AG14" s="3">
        <v>3824</v>
      </c>
      <c r="AH14" s="3">
        <v>2935</v>
      </c>
      <c r="AI14" s="3">
        <v>2548</v>
      </c>
      <c r="AJ14" s="3">
        <v>2192</v>
      </c>
      <c r="AK14" s="3">
        <v>1613</v>
      </c>
      <c r="AL14" s="3">
        <v>1296</v>
      </c>
      <c r="AM14" s="3">
        <v>826</v>
      </c>
      <c r="AN14" s="3">
        <v>324</v>
      </c>
      <c r="AO14" s="3">
        <v>201</v>
      </c>
      <c r="AP14" s="3">
        <v>110</v>
      </c>
      <c r="AQ14" s="3">
        <v>71</v>
      </c>
      <c r="AR14" s="3">
        <v>52444</v>
      </c>
      <c r="AS14" s="3">
        <v>7434</v>
      </c>
      <c r="AT14" s="3">
        <v>6588</v>
      </c>
      <c r="AU14" s="3">
        <v>7084</v>
      </c>
      <c r="AV14" s="3">
        <v>6947</v>
      </c>
      <c r="AW14" s="3">
        <v>5417</v>
      </c>
      <c r="AX14" s="3">
        <v>4459</v>
      </c>
      <c r="AY14" s="3">
        <v>3513</v>
      </c>
      <c r="AZ14" s="3">
        <v>2895</v>
      </c>
      <c r="BA14" s="3">
        <v>2505</v>
      </c>
      <c r="BB14" s="3">
        <v>1921</v>
      </c>
      <c r="BC14" s="3">
        <v>1426</v>
      </c>
      <c r="BD14" s="3">
        <v>940</v>
      </c>
      <c r="BE14" s="3">
        <v>545</v>
      </c>
      <c r="BF14" s="3">
        <v>300</v>
      </c>
      <c r="BG14" s="3">
        <v>226</v>
      </c>
      <c r="BH14" s="3">
        <v>132</v>
      </c>
      <c r="BI14" s="3">
        <v>112</v>
      </c>
    </row>
    <row r="15" spans="1:61" x14ac:dyDescent="0.25">
      <c r="A15" s="12" t="s">
        <v>3</v>
      </c>
      <c r="B15" s="12" t="s">
        <v>291</v>
      </c>
      <c r="C15" s="2" t="s">
        <v>113</v>
      </c>
      <c r="D15" s="2" t="s">
        <v>404</v>
      </c>
      <c r="E15" s="2" t="s">
        <v>191</v>
      </c>
      <c r="F15" s="2" t="s">
        <v>191</v>
      </c>
      <c r="G15" s="2">
        <v>2020</v>
      </c>
      <c r="H15" s="3">
        <v>98966</v>
      </c>
      <c r="I15" s="3">
        <v>18872</v>
      </c>
      <c r="J15" s="3">
        <v>16426</v>
      </c>
      <c r="K15" s="3">
        <v>13253</v>
      </c>
      <c r="L15" s="3">
        <v>10025</v>
      </c>
      <c r="M15" s="3">
        <v>8140</v>
      </c>
      <c r="N15" s="3">
        <v>6644</v>
      </c>
      <c r="O15" s="3">
        <v>5334</v>
      </c>
      <c r="P15" s="3">
        <v>4696</v>
      </c>
      <c r="Q15" s="3">
        <v>4116</v>
      </c>
      <c r="R15" s="3">
        <v>3372</v>
      </c>
      <c r="S15" s="3">
        <v>2194</v>
      </c>
      <c r="T15" s="3">
        <v>1666</v>
      </c>
      <c r="U15" s="3">
        <v>1413</v>
      </c>
      <c r="V15" s="3">
        <v>1050</v>
      </c>
      <c r="W15" s="3">
        <v>802</v>
      </c>
      <c r="X15" s="3">
        <v>568</v>
      </c>
      <c r="Y15" s="3">
        <v>395</v>
      </c>
      <c r="Z15" s="3">
        <v>49532</v>
      </c>
      <c r="AA15" s="3">
        <v>9391</v>
      </c>
      <c r="AB15" s="3">
        <v>8289</v>
      </c>
      <c r="AC15" s="3">
        <v>6881</v>
      </c>
      <c r="AD15" s="3">
        <v>5185</v>
      </c>
      <c r="AE15" s="3">
        <v>3982</v>
      </c>
      <c r="AF15" s="3">
        <v>3248</v>
      </c>
      <c r="AG15" s="3">
        <v>2586</v>
      </c>
      <c r="AH15" s="3">
        <v>2306</v>
      </c>
      <c r="AI15" s="3">
        <v>2093</v>
      </c>
      <c r="AJ15" s="3">
        <v>1775</v>
      </c>
      <c r="AK15" s="3">
        <v>1180</v>
      </c>
      <c r="AL15" s="3">
        <v>779</v>
      </c>
      <c r="AM15" s="3">
        <v>579</v>
      </c>
      <c r="AN15" s="3">
        <v>483</v>
      </c>
      <c r="AO15" s="3">
        <v>363</v>
      </c>
      <c r="AP15" s="3">
        <v>240</v>
      </c>
      <c r="AQ15" s="3">
        <v>172</v>
      </c>
      <c r="AR15" s="3">
        <v>49434</v>
      </c>
      <c r="AS15" s="3">
        <v>9481</v>
      </c>
      <c r="AT15" s="3">
        <v>8137</v>
      </c>
      <c r="AU15" s="3">
        <v>6372</v>
      </c>
      <c r="AV15" s="3">
        <v>4840</v>
      </c>
      <c r="AW15" s="3">
        <v>4158</v>
      </c>
      <c r="AX15" s="3">
        <v>3396</v>
      </c>
      <c r="AY15" s="3">
        <v>2748</v>
      </c>
      <c r="AZ15" s="3">
        <v>2390</v>
      </c>
      <c r="BA15" s="3">
        <v>2023</v>
      </c>
      <c r="BB15" s="3">
        <v>1597</v>
      </c>
      <c r="BC15" s="3">
        <v>1014</v>
      </c>
      <c r="BD15" s="3">
        <v>887</v>
      </c>
      <c r="BE15" s="3">
        <v>834</v>
      </c>
      <c r="BF15" s="3">
        <v>567</v>
      </c>
      <c r="BG15" s="3">
        <v>439</v>
      </c>
      <c r="BH15" s="3">
        <v>328</v>
      </c>
      <c r="BI15" s="3">
        <v>223</v>
      </c>
    </row>
    <row r="16" spans="1:61" x14ac:dyDescent="0.25">
      <c r="A16" s="12" t="s">
        <v>3</v>
      </c>
      <c r="B16" s="12" t="s">
        <v>291</v>
      </c>
      <c r="C16" s="2" t="s">
        <v>113</v>
      </c>
      <c r="D16" s="2" t="s">
        <v>404</v>
      </c>
      <c r="E16" s="2" t="s">
        <v>191</v>
      </c>
      <c r="F16" s="2" t="s">
        <v>192</v>
      </c>
      <c r="G16" s="2">
        <v>2020</v>
      </c>
      <c r="H16" s="3">
        <v>63901</v>
      </c>
      <c r="I16" s="3">
        <v>12111</v>
      </c>
      <c r="J16" s="3">
        <v>11030</v>
      </c>
      <c r="K16" s="3">
        <v>8843</v>
      </c>
      <c r="L16" s="3">
        <v>6464</v>
      </c>
      <c r="M16" s="3">
        <v>4932</v>
      </c>
      <c r="N16" s="3">
        <v>4025</v>
      </c>
      <c r="O16" s="3">
        <v>3357</v>
      </c>
      <c r="P16" s="3">
        <v>2865</v>
      </c>
      <c r="Q16" s="3">
        <v>2624</v>
      </c>
      <c r="R16" s="3">
        <v>2082</v>
      </c>
      <c r="S16" s="3">
        <v>1408</v>
      </c>
      <c r="T16" s="3">
        <v>1090</v>
      </c>
      <c r="U16" s="3">
        <v>954</v>
      </c>
      <c r="V16" s="3">
        <v>791</v>
      </c>
      <c r="W16" s="3">
        <v>604</v>
      </c>
      <c r="X16" s="3">
        <v>425</v>
      </c>
      <c r="Y16" s="3">
        <v>296</v>
      </c>
      <c r="Z16" s="3">
        <v>31973</v>
      </c>
      <c r="AA16" s="3">
        <v>6127</v>
      </c>
      <c r="AB16" s="3">
        <v>5557</v>
      </c>
      <c r="AC16" s="3">
        <v>4533</v>
      </c>
      <c r="AD16" s="3">
        <v>3309</v>
      </c>
      <c r="AE16" s="3">
        <v>2345</v>
      </c>
      <c r="AF16" s="3">
        <v>1992</v>
      </c>
      <c r="AG16" s="3">
        <v>1711</v>
      </c>
      <c r="AH16" s="3">
        <v>1326</v>
      </c>
      <c r="AI16" s="3">
        <v>1307</v>
      </c>
      <c r="AJ16" s="3">
        <v>1083</v>
      </c>
      <c r="AK16" s="3">
        <v>787</v>
      </c>
      <c r="AL16" s="3">
        <v>509</v>
      </c>
      <c r="AM16" s="3">
        <v>404</v>
      </c>
      <c r="AN16" s="3">
        <v>376</v>
      </c>
      <c r="AO16" s="3">
        <v>286</v>
      </c>
      <c r="AP16" s="3">
        <v>187</v>
      </c>
      <c r="AQ16" s="3">
        <v>134</v>
      </c>
      <c r="AR16" s="3">
        <v>31928</v>
      </c>
      <c r="AS16" s="3">
        <v>5984</v>
      </c>
      <c r="AT16" s="3">
        <v>5473</v>
      </c>
      <c r="AU16" s="3">
        <v>4310</v>
      </c>
      <c r="AV16" s="3">
        <v>3155</v>
      </c>
      <c r="AW16" s="3">
        <v>2587</v>
      </c>
      <c r="AX16" s="3">
        <v>2033</v>
      </c>
      <c r="AY16" s="3">
        <v>1646</v>
      </c>
      <c r="AZ16" s="3">
        <v>1539</v>
      </c>
      <c r="BA16" s="3">
        <v>1317</v>
      </c>
      <c r="BB16" s="3">
        <v>999</v>
      </c>
      <c r="BC16" s="3">
        <v>621</v>
      </c>
      <c r="BD16" s="3">
        <v>581</v>
      </c>
      <c r="BE16" s="3">
        <v>550</v>
      </c>
      <c r="BF16" s="3">
        <v>415</v>
      </c>
      <c r="BG16" s="3">
        <v>318</v>
      </c>
      <c r="BH16" s="3">
        <v>238</v>
      </c>
      <c r="BI16" s="3">
        <v>162</v>
      </c>
    </row>
    <row r="17" spans="1:61" x14ac:dyDescent="0.25">
      <c r="A17" s="12" t="s">
        <v>3</v>
      </c>
      <c r="B17" s="12" t="s">
        <v>291</v>
      </c>
      <c r="C17" s="2" t="s">
        <v>138</v>
      </c>
      <c r="D17" s="2" t="s">
        <v>335</v>
      </c>
      <c r="E17" s="2" t="s">
        <v>141</v>
      </c>
      <c r="F17" s="2" t="s">
        <v>142</v>
      </c>
      <c r="G17" s="2">
        <v>2020</v>
      </c>
      <c r="H17" s="3">
        <v>146115</v>
      </c>
      <c r="I17" s="3">
        <v>27643</v>
      </c>
      <c r="J17" s="3">
        <v>23409</v>
      </c>
      <c r="K17" s="3">
        <v>19920</v>
      </c>
      <c r="L17" s="3">
        <v>14910</v>
      </c>
      <c r="M17" s="3">
        <v>11975</v>
      </c>
      <c r="N17" s="3">
        <v>9917</v>
      </c>
      <c r="O17" s="3">
        <v>8137</v>
      </c>
      <c r="P17" s="3">
        <v>7210</v>
      </c>
      <c r="Q17" s="3">
        <v>5883</v>
      </c>
      <c r="R17" s="3">
        <v>4541</v>
      </c>
      <c r="S17" s="3">
        <v>3251</v>
      </c>
      <c r="T17" s="3">
        <v>2566</v>
      </c>
      <c r="U17" s="3">
        <v>2244</v>
      </c>
      <c r="V17" s="3">
        <v>1600</v>
      </c>
      <c r="W17" s="3">
        <v>1302</v>
      </c>
      <c r="X17" s="3">
        <v>869</v>
      </c>
      <c r="Y17" s="3">
        <v>738</v>
      </c>
      <c r="Z17" s="3">
        <v>73738</v>
      </c>
      <c r="AA17" s="3">
        <v>13762</v>
      </c>
      <c r="AB17" s="3">
        <v>11901</v>
      </c>
      <c r="AC17" s="3">
        <v>10226</v>
      </c>
      <c r="AD17" s="3">
        <v>7880</v>
      </c>
      <c r="AE17" s="3">
        <v>6149</v>
      </c>
      <c r="AF17" s="3">
        <v>5135</v>
      </c>
      <c r="AG17" s="3">
        <v>4088</v>
      </c>
      <c r="AH17" s="3">
        <v>3559</v>
      </c>
      <c r="AI17" s="3">
        <v>2997</v>
      </c>
      <c r="AJ17" s="3">
        <v>2353</v>
      </c>
      <c r="AK17" s="3">
        <v>1677</v>
      </c>
      <c r="AL17" s="3">
        <v>1198</v>
      </c>
      <c r="AM17" s="3">
        <v>947</v>
      </c>
      <c r="AN17" s="3">
        <v>711</v>
      </c>
      <c r="AO17" s="3">
        <v>561</v>
      </c>
      <c r="AP17" s="3">
        <v>346</v>
      </c>
      <c r="AQ17" s="3">
        <v>248</v>
      </c>
      <c r="AR17" s="3">
        <v>72377</v>
      </c>
      <c r="AS17" s="3">
        <v>13881</v>
      </c>
      <c r="AT17" s="3">
        <v>11508</v>
      </c>
      <c r="AU17" s="3">
        <v>9694</v>
      </c>
      <c r="AV17" s="3">
        <v>7030</v>
      </c>
      <c r="AW17" s="3">
        <v>5826</v>
      </c>
      <c r="AX17" s="3">
        <v>4782</v>
      </c>
      <c r="AY17" s="3">
        <v>4049</v>
      </c>
      <c r="AZ17" s="3">
        <v>3651</v>
      </c>
      <c r="BA17" s="3">
        <v>2886</v>
      </c>
      <c r="BB17" s="3">
        <v>2188</v>
      </c>
      <c r="BC17" s="3">
        <v>1574</v>
      </c>
      <c r="BD17" s="3">
        <v>1368</v>
      </c>
      <c r="BE17" s="3">
        <v>1297</v>
      </c>
      <c r="BF17" s="3">
        <v>889</v>
      </c>
      <c r="BG17" s="3">
        <v>741</v>
      </c>
      <c r="BH17" s="3">
        <v>523</v>
      </c>
      <c r="BI17" s="3">
        <v>490</v>
      </c>
    </row>
    <row r="18" spans="1:61" x14ac:dyDescent="0.25">
      <c r="A18" s="12" t="s">
        <v>3</v>
      </c>
      <c r="B18" s="12" t="s">
        <v>291</v>
      </c>
      <c r="C18" s="2" t="s">
        <v>138</v>
      </c>
      <c r="D18" s="2" t="s">
        <v>335</v>
      </c>
      <c r="E18" s="2" t="s">
        <v>141</v>
      </c>
      <c r="F18" s="2" t="s">
        <v>141</v>
      </c>
      <c r="G18" s="2">
        <v>2020</v>
      </c>
      <c r="H18" s="3">
        <v>209954</v>
      </c>
      <c r="I18" s="3">
        <v>34082</v>
      </c>
      <c r="J18" s="3">
        <v>29809</v>
      </c>
      <c r="K18" s="3">
        <v>27235</v>
      </c>
      <c r="L18" s="3">
        <v>24246</v>
      </c>
      <c r="M18" s="3">
        <v>20867</v>
      </c>
      <c r="N18" s="3">
        <v>17486</v>
      </c>
      <c r="O18" s="3">
        <v>14514</v>
      </c>
      <c r="P18" s="3">
        <v>11664</v>
      </c>
      <c r="Q18" s="3">
        <v>9032</v>
      </c>
      <c r="R18" s="3">
        <v>6540</v>
      </c>
      <c r="S18" s="3">
        <v>4640</v>
      </c>
      <c r="T18" s="3">
        <v>3290</v>
      </c>
      <c r="U18" s="3">
        <v>2461</v>
      </c>
      <c r="V18" s="3">
        <v>1451</v>
      </c>
      <c r="W18" s="3">
        <v>1180</v>
      </c>
      <c r="X18" s="3">
        <v>788</v>
      </c>
      <c r="Y18" s="3">
        <v>669</v>
      </c>
      <c r="Z18" s="3">
        <v>105018</v>
      </c>
      <c r="AA18" s="3">
        <v>17097</v>
      </c>
      <c r="AB18" s="3">
        <v>14839</v>
      </c>
      <c r="AC18" s="3">
        <v>13194</v>
      </c>
      <c r="AD18" s="3">
        <v>12236</v>
      </c>
      <c r="AE18" s="3">
        <v>10394</v>
      </c>
      <c r="AF18" s="3">
        <v>8645</v>
      </c>
      <c r="AG18" s="3">
        <v>7479</v>
      </c>
      <c r="AH18" s="3">
        <v>6136</v>
      </c>
      <c r="AI18" s="3">
        <v>4729</v>
      </c>
      <c r="AJ18" s="3">
        <v>3406</v>
      </c>
      <c r="AK18" s="3">
        <v>2451</v>
      </c>
      <c r="AL18" s="3">
        <v>1576</v>
      </c>
      <c r="AM18" s="3">
        <v>1158</v>
      </c>
      <c r="AN18" s="3">
        <v>638</v>
      </c>
      <c r="AO18" s="3">
        <v>504</v>
      </c>
      <c r="AP18" s="3">
        <v>312</v>
      </c>
      <c r="AQ18" s="3">
        <v>224</v>
      </c>
      <c r="AR18" s="3">
        <v>104936</v>
      </c>
      <c r="AS18" s="3">
        <v>16985</v>
      </c>
      <c r="AT18" s="3">
        <v>14970</v>
      </c>
      <c r="AU18" s="3">
        <v>14041</v>
      </c>
      <c r="AV18" s="3">
        <v>12010</v>
      </c>
      <c r="AW18" s="3">
        <v>10473</v>
      </c>
      <c r="AX18" s="3">
        <v>8841</v>
      </c>
      <c r="AY18" s="3">
        <v>7035</v>
      </c>
      <c r="AZ18" s="3">
        <v>5528</v>
      </c>
      <c r="BA18" s="3">
        <v>4303</v>
      </c>
      <c r="BB18" s="3">
        <v>3134</v>
      </c>
      <c r="BC18" s="3">
        <v>2189</v>
      </c>
      <c r="BD18" s="3">
        <v>1714</v>
      </c>
      <c r="BE18" s="3">
        <v>1303</v>
      </c>
      <c r="BF18" s="3">
        <v>813</v>
      </c>
      <c r="BG18" s="3">
        <v>676</v>
      </c>
      <c r="BH18" s="3">
        <v>476</v>
      </c>
      <c r="BI18" s="3">
        <v>445</v>
      </c>
    </row>
    <row r="19" spans="1:61" x14ac:dyDescent="0.25">
      <c r="A19" s="12" t="s">
        <v>3</v>
      </c>
      <c r="B19" s="12" t="s">
        <v>291</v>
      </c>
      <c r="C19" s="2" t="s">
        <v>138</v>
      </c>
      <c r="D19" s="2" t="s">
        <v>335</v>
      </c>
      <c r="E19" s="2" t="s">
        <v>141</v>
      </c>
      <c r="F19" s="2" t="s">
        <v>143</v>
      </c>
      <c r="G19" s="2">
        <v>2020</v>
      </c>
      <c r="H19" s="3">
        <v>115527</v>
      </c>
      <c r="I19" s="3">
        <v>21879</v>
      </c>
      <c r="J19" s="3">
        <v>18976</v>
      </c>
      <c r="K19" s="3">
        <v>15250</v>
      </c>
      <c r="L19" s="3">
        <v>11684</v>
      </c>
      <c r="M19" s="3">
        <v>9613</v>
      </c>
      <c r="N19" s="3">
        <v>7730</v>
      </c>
      <c r="O19" s="3">
        <v>6221</v>
      </c>
      <c r="P19" s="3">
        <v>5367</v>
      </c>
      <c r="Q19" s="3">
        <v>4727</v>
      </c>
      <c r="R19" s="3">
        <v>3665</v>
      </c>
      <c r="S19" s="3">
        <v>2679</v>
      </c>
      <c r="T19" s="3">
        <v>1977</v>
      </c>
      <c r="U19" s="3">
        <v>1804</v>
      </c>
      <c r="V19" s="3">
        <v>1393</v>
      </c>
      <c r="W19" s="3">
        <v>1140</v>
      </c>
      <c r="X19" s="3">
        <v>767</v>
      </c>
      <c r="Y19" s="3">
        <v>655</v>
      </c>
      <c r="Z19" s="3">
        <v>57040</v>
      </c>
      <c r="AA19" s="3">
        <v>10974</v>
      </c>
      <c r="AB19" s="3">
        <v>9532</v>
      </c>
      <c r="AC19" s="3">
        <v>7871</v>
      </c>
      <c r="AD19" s="3">
        <v>6049</v>
      </c>
      <c r="AE19" s="3">
        <v>4831</v>
      </c>
      <c r="AF19" s="3">
        <v>3833</v>
      </c>
      <c r="AG19" s="3">
        <v>3025</v>
      </c>
      <c r="AH19" s="3">
        <v>2585</v>
      </c>
      <c r="AI19" s="3">
        <v>2245</v>
      </c>
      <c r="AJ19" s="3">
        <v>1739</v>
      </c>
      <c r="AK19" s="3">
        <v>1303</v>
      </c>
      <c r="AL19" s="3">
        <v>888</v>
      </c>
      <c r="AM19" s="3">
        <v>701</v>
      </c>
      <c r="AN19" s="3">
        <v>556</v>
      </c>
      <c r="AO19" s="3">
        <v>441</v>
      </c>
      <c r="AP19" s="3">
        <v>273</v>
      </c>
      <c r="AQ19" s="3">
        <v>194</v>
      </c>
      <c r="AR19" s="3">
        <v>58487</v>
      </c>
      <c r="AS19" s="3">
        <v>10905</v>
      </c>
      <c r="AT19" s="3">
        <v>9444</v>
      </c>
      <c r="AU19" s="3">
        <v>7379</v>
      </c>
      <c r="AV19" s="3">
        <v>5635</v>
      </c>
      <c r="AW19" s="3">
        <v>4782</v>
      </c>
      <c r="AX19" s="3">
        <v>3897</v>
      </c>
      <c r="AY19" s="3">
        <v>3196</v>
      </c>
      <c r="AZ19" s="3">
        <v>2782</v>
      </c>
      <c r="BA19" s="3">
        <v>2482</v>
      </c>
      <c r="BB19" s="3">
        <v>1926</v>
      </c>
      <c r="BC19" s="3">
        <v>1376</v>
      </c>
      <c r="BD19" s="3">
        <v>1089</v>
      </c>
      <c r="BE19" s="3">
        <v>1103</v>
      </c>
      <c r="BF19" s="3">
        <v>837</v>
      </c>
      <c r="BG19" s="3">
        <v>699</v>
      </c>
      <c r="BH19" s="3">
        <v>494</v>
      </c>
      <c r="BI19" s="3">
        <v>461</v>
      </c>
    </row>
    <row r="20" spans="1:61" x14ac:dyDescent="0.25">
      <c r="A20" s="12" t="s">
        <v>3</v>
      </c>
      <c r="B20" s="12" t="s">
        <v>291</v>
      </c>
      <c r="C20" s="2" t="s">
        <v>138</v>
      </c>
      <c r="D20" s="2" t="s">
        <v>335</v>
      </c>
      <c r="E20" s="2" t="s">
        <v>141</v>
      </c>
      <c r="F20" s="2" t="s">
        <v>144</v>
      </c>
      <c r="G20" s="2">
        <v>2020</v>
      </c>
      <c r="H20" s="3">
        <v>81108</v>
      </c>
      <c r="I20" s="3">
        <v>14442</v>
      </c>
      <c r="J20" s="3">
        <v>12288</v>
      </c>
      <c r="K20" s="3">
        <v>10867</v>
      </c>
      <c r="L20" s="3">
        <v>8885</v>
      </c>
      <c r="M20" s="3">
        <v>7047</v>
      </c>
      <c r="N20" s="3">
        <v>5547</v>
      </c>
      <c r="O20" s="3">
        <v>4387</v>
      </c>
      <c r="P20" s="3">
        <v>3758</v>
      </c>
      <c r="Q20" s="3">
        <v>3403</v>
      </c>
      <c r="R20" s="3">
        <v>2579</v>
      </c>
      <c r="S20" s="3">
        <v>1988</v>
      </c>
      <c r="T20" s="3">
        <v>1606</v>
      </c>
      <c r="U20" s="3">
        <v>1371</v>
      </c>
      <c r="V20" s="3">
        <v>1034</v>
      </c>
      <c r="W20" s="3">
        <v>846</v>
      </c>
      <c r="X20" s="3">
        <v>572</v>
      </c>
      <c r="Y20" s="3">
        <v>488</v>
      </c>
      <c r="Z20" s="3">
        <v>40344</v>
      </c>
      <c r="AA20" s="3">
        <v>7305</v>
      </c>
      <c r="AB20" s="3">
        <v>6223</v>
      </c>
      <c r="AC20" s="3">
        <v>5729</v>
      </c>
      <c r="AD20" s="3">
        <v>4555</v>
      </c>
      <c r="AE20" s="3">
        <v>3618</v>
      </c>
      <c r="AF20" s="3">
        <v>2846</v>
      </c>
      <c r="AG20" s="3">
        <v>2186</v>
      </c>
      <c r="AH20" s="3">
        <v>1815</v>
      </c>
      <c r="AI20" s="3">
        <v>1598</v>
      </c>
      <c r="AJ20" s="3">
        <v>1215</v>
      </c>
      <c r="AK20" s="3">
        <v>938</v>
      </c>
      <c r="AL20" s="3">
        <v>726</v>
      </c>
      <c r="AM20" s="3">
        <v>528</v>
      </c>
      <c r="AN20" s="3">
        <v>404</v>
      </c>
      <c r="AO20" s="3">
        <v>320</v>
      </c>
      <c r="AP20" s="3">
        <v>197</v>
      </c>
      <c r="AQ20" s="3">
        <v>141</v>
      </c>
      <c r="AR20" s="3">
        <v>40764</v>
      </c>
      <c r="AS20" s="3">
        <v>7137</v>
      </c>
      <c r="AT20" s="3">
        <v>6065</v>
      </c>
      <c r="AU20" s="3">
        <v>5138</v>
      </c>
      <c r="AV20" s="3">
        <v>4330</v>
      </c>
      <c r="AW20" s="3">
        <v>3429</v>
      </c>
      <c r="AX20" s="3">
        <v>2701</v>
      </c>
      <c r="AY20" s="3">
        <v>2201</v>
      </c>
      <c r="AZ20" s="3">
        <v>1943</v>
      </c>
      <c r="BA20" s="3">
        <v>1805</v>
      </c>
      <c r="BB20" s="3">
        <v>1364</v>
      </c>
      <c r="BC20" s="3">
        <v>1050</v>
      </c>
      <c r="BD20" s="3">
        <v>880</v>
      </c>
      <c r="BE20" s="3">
        <v>843</v>
      </c>
      <c r="BF20" s="3">
        <v>630</v>
      </c>
      <c r="BG20" s="3">
        <v>526</v>
      </c>
      <c r="BH20" s="3">
        <v>375</v>
      </c>
      <c r="BI20" s="3">
        <v>347</v>
      </c>
    </row>
    <row r="21" spans="1:61" x14ac:dyDescent="0.25">
      <c r="A21" s="12" t="s">
        <v>3</v>
      </c>
      <c r="B21" s="12" t="s">
        <v>291</v>
      </c>
      <c r="C21" s="2" t="s">
        <v>231</v>
      </c>
      <c r="D21" s="2" t="s">
        <v>470</v>
      </c>
      <c r="E21" s="2" t="s">
        <v>232</v>
      </c>
      <c r="F21" s="2" t="s">
        <v>232</v>
      </c>
      <c r="G21" s="2">
        <v>2020</v>
      </c>
      <c r="H21" s="3">
        <v>196813</v>
      </c>
      <c r="I21" s="3">
        <v>35871</v>
      </c>
      <c r="J21" s="3">
        <v>30063</v>
      </c>
      <c r="K21" s="3">
        <v>25150</v>
      </c>
      <c r="L21" s="3">
        <v>23171</v>
      </c>
      <c r="M21" s="3">
        <v>18993</v>
      </c>
      <c r="N21" s="3">
        <v>14799</v>
      </c>
      <c r="O21" s="3">
        <v>12010</v>
      </c>
      <c r="P21" s="3">
        <v>9836</v>
      </c>
      <c r="Q21" s="3">
        <v>8047</v>
      </c>
      <c r="R21" s="3">
        <v>5697</v>
      </c>
      <c r="S21" s="3">
        <v>4278</v>
      </c>
      <c r="T21" s="3">
        <v>2987</v>
      </c>
      <c r="U21" s="3">
        <v>2145</v>
      </c>
      <c r="V21" s="3">
        <v>1408</v>
      </c>
      <c r="W21" s="3">
        <v>1104</v>
      </c>
      <c r="X21" s="3">
        <v>691</v>
      </c>
      <c r="Y21" s="3">
        <v>563</v>
      </c>
      <c r="Z21" s="3">
        <v>97836</v>
      </c>
      <c r="AA21" s="3">
        <v>18356</v>
      </c>
      <c r="AB21" s="3">
        <v>14871</v>
      </c>
      <c r="AC21" s="3">
        <v>12548</v>
      </c>
      <c r="AD21" s="3">
        <v>11696</v>
      </c>
      <c r="AE21" s="3">
        <v>9489</v>
      </c>
      <c r="AF21" s="3">
        <v>7401</v>
      </c>
      <c r="AG21" s="3">
        <v>5947</v>
      </c>
      <c r="AH21" s="3">
        <v>4780</v>
      </c>
      <c r="AI21" s="3">
        <v>3900</v>
      </c>
      <c r="AJ21" s="3">
        <v>2737</v>
      </c>
      <c r="AK21" s="3">
        <v>2100</v>
      </c>
      <c r="AL21" s="3">
        <v>1440</v>
      </c>
      <c r="AM21" s="3">
        <v>942</v>
      </c>
      <c r="AN21" s="3">
        <v>636</v>
      </c>
      <c r="AO21" s="3">
        <v>490</v>
      </c>
      <c r="AP21" s="3">
        <v>296</v>
      </c>
      <c r="AQ21" s="3">
        <v>207</v>
      </c>
      <c r="AR21" s="3">
        <v>98977</v>
      </c>
      <c r="AS21" s="3">
        <v>17515</v>
      </c>
      <c r="AT21" s="3">
        <v>15192</v>
      </c>
      <c r="AU21" s="3">
        <v>12602</v>
      </c>
      <c r="AV21" s="3">
        <v>11475</v>
      </c>
      <c r="AW21" s="3">
        <v>9504</v>
      </c>
      <c r="AX21" s="3">
        <v>7398</v>
      </c>
      <c r="AY21" s="3">
        <v>6063</v>
      </c>
      <c r="AZ21" s="3">
        <v>5056</v>
      </c>
      <c r="BA21" s="3">
        <v>4147</v>
      </c>
      <c r="BB21" s="3">
        <v>2960</v>
      </c>
      <c r="BC21" s="3">
        <v>2178</v>
      </c>
      <c r="BD21" s="3">
        <v>1547</v>
      </c>
      <c r="BE21" s="3">
        <v>1203</v>
      </c>
      <c r="BF21" s="3">
        <v>772</v>
      </c>
      <c r="BG21" s="3">
        <v>614</v>
      </c>
      <c r="BH21" s="3">
        <v>395</v>
      </c>
      <c r="BI21" s="3">
        <v>356</v>
      </c>
    </row>
    <row r="22" spans="1:61" x14ac:dyDescent="0.25">
      <c r="A22" s="12" t="s">
        <v>3</v>
      </c>
      <c r="B22" s="12" t="s">
        <v>291</v>
      </c>
      <c r="C22" s="2" t="s">
        <v>231</v>
      </c>
      <c r="D22" s="2" t="s">
        <v>470</v>
      </c>
      <c r="E22" s="2" t="s">
        <v>232</v>
      </c>
      <c r="F22" s="2" t="s">
        <v>233</v>
      </c>
      <c r="G22" s="2">
        <v>2020</v>
      </c>
      <c r="H22" s="3">
        <v>53808</v>
      </c>
      <c r="I22" s="3">
        <v>10935</v>
      </c>
      <c r="J22" s="3">
        <v>8932</v>
      </c>
      <c r="K22" s="3">
        <v>7289</v>
      </c>
      <c r="L22" s="3">
        <v>6041</v>
      </c>
      <c r="M22" s="3">
        <v>4540</v>
      </c>
      <c r="N22" s="3">
        <v>3218</v>
      </c>
      <c r="O22" s="3">
        <v>2650</v>
      </c>
      <c r="P22" s="3">
        <v>2253</v>
      </c>
      <c r="Q22" s="3">
        <v>2093</v>
      </c>
      <c r="R22" s="3">
        <v>1574</v>
      </c>
      <c r="S22" s="3">
        <v>1146</v>
      </c>
      <c r="T22" s="3">
        <v>877</v>
      </c>
      <c r="U22" s="3">
        <v>681</v>
      </c>
      <c r="V22" s="3">
        <v>583</v>
      </c>
      <c r="W22" s="3">
        <v>461</v>
      </c>
      <c r="X22" s="3">
        <v>293</v>
      </c>
      <c r="Y22" s="3">
        <v>242</v>
      </c>
      <c r="Z22" s="3">
        <v>26455</v>
      </c>
      <c r="AA22" s="3">
        <v>5485</v>
      </c>
      <c r="AB22" s="3">
        <v>4524</v>
      </c>
      <c r="AC22" s="3">
        <v>3724</v>
      </c>
      <c r="AD22" s="3">
        <v>3110</v>
      </c>
      <c r="AE22" s="3">
        <v>2393</v>
      </c>
      <c r="AF22" s="3">
        <v>1639</v>
      </c>
      <c r="AG22" s="3">
        <v>1219</v>
      </c>
      <c r="AH22" s="3">
        <v>1016</v>
      </c>
      <c r="AI22" s="3">
        <v>913</v>
      </c>
      <c r="AJ22" s="3">
        <v>743</v>
      </c>
      <c r="AK22" s="3">
        <v>543</v>
      </c>
      <c r="AL22" s="3">
        <v>353</v>
      </c>
      <c r="AM22" s="3">
        <v>230</v>
      </c>
      <c r="AN22" s="3">
        <v>217</v>
      </c>
      <c r="AO22" s="3">
        <v>170</v>
      </c>
      <c r="AP22" s="3">
        <v>104</v>
      </c>
      <c r="AQ22" s="3">
        <v>72</v>
      </c>
      <c r="AR22" s="3">
        <v>27353</v>
      </c>
      <c r="AS22" s="3">
        <v>5450</v>
      </c>
      <c r="AT22" s="3">
        <v>4408</v>
      </c>
      <c r="AU22" s="3">
        <v>3565</v>
      </c>
      <c r="AV22" s="3">
        <v>2931</v>
      </c>
      <c r="AW22" s="3">
        <v>2147</v>
      </c>
      <c r="AX22" s="3">
        <v>1579</v>
      </c>
      <c r="AY22" s="3">
        <v>1431</v>
      </c>
      <c r="AZ22" s="3">
        <v>1237</v>
      </c>
      <c r="BA22" s="3">
        <v>1180</v>
      </c>
      <c r="BB22" s="3">
        <v>831</v>
      </c>
      <c r="BC22" s="3">
        <v>603</v>
      </c>
      <c r="BD22" s="3">
        <v>524</v>
      </c>
      <c r="BE22" s="3">
        <v>451</v>
      </c>
      <c r="BF22" s="3">
        <v>366</v>
      </c>
      <c r="BG22" s="3">
        <v>291</v>
      </c>
      <c r="BH22" s="3">
        <v>189</v>
      </c>
      <c r="BI22" s="3">
        <v>170</v>
      </c>
    </row>
    <row r="23" spans="1:61" x14ac:dyDescent="0.25">
      <c r="A23" s="12" t="s">
        <v>3</v>
      </c>
      <c r="B23" s="12" t="s">
        <v>291</v>
      </c>
      <c r="C23" s="2" t="s">
        <v>231</v>
      </c>
      <c r="D23" s="2" t="s">
        <v>470</v>
      </c>
      <c r="E23" s="2" t="s">
        <v>232</v>
      </c>
      <c r="F23" s="2" t="s">
        <v>234</v>
      </c>
      <c r="G23" s="2">
        <v>2020</v>
      </c>
      <c r="H23" s="3">
        <v>63182</v>
      </c>
      <c r="I23" s="3">
        <v>12456</v>
      </c>
      <c r="J23" s="3">
        <v>10778</v>
      </c>
      <c r="K23" s="3">
        <v>9001</v>
      </c>
      <c r="L23" s="3">
        <v>7206</v>
      </c>
      <c r="M23" s="3">
        <v>4946</v>
      </c>
      <c r="N23" s="3">
        <v>3534</v>
      </c>
      <c r="O23" s="3">
        <v>3279</v>
      </c>
      <c r="P23" s="3">
        <v>2708</v>
      </c>
      <c r="Q23" s="3">
        <v>2481</v>
      </c>
      <c r="R23" s="3">
        <v>1793</v>
      </c>
      <c r="S23" s="3">
        <v>1375</v>
      </c>
      <c r="T23" s="3">
        <v>1063</v>
      </c>
      <c r="U23" s="3">
        <v>871</v>
      </c>
      <c r="V23" s="3">
        <v>626</v>
      </c>
      <c r="W23" s="3">
        <v>495</v>
      </c>
      <c r="X23" s="3">
        <v>313</v>
      </c>
      <c r="Y23" s="3">
        <v>257</v>
      </c>
      <c r="Z23" s="3">
        <v>30750</v>
      </c>
      <c r="AA23" s="3">
        <v>6150</v>
      </c>
      <c r="AB23" s="3">
        <v>5365</v>
      </c>
      <c r="AC23" s="3">
        <v>4605</v>
      </c>
      <c r="AD23" s="3">
        <v>3788</v>
      </c>
      <c r="AE23" s="3">
        <v>2585</v>
      </c>
      <c r="AF23" s="3">
        <v>1664</v>
      </c>
      <c r="AG23" s="3">
        <v>1435</v>
      </c>
      <c r="AH23" s="3">
        <v>1206</v>
      </c>
      <c r="AI23" s="3">
        <v>1111</v>
      </c>
      <c r="AJ23" s="3">
        <v>802</v>
      </c>
      <c r="AK23" s="3">
        <v>616</v>
      </c>
      <c r="AL23" s="3">
        <v>447</v>
      </c>
      <c r="AM23" s="3">
        <v>334</v>
      </c>
      <c r="AN23" s="3">
        <v>250</v>
      </c>
      <c r="AO23" s="3">
        <v>192</v>
      </c>
      <c r="AP23" s="3">
        <v>118</v>
      </c>
      <c r="AQ23" s="3">
        <v>82</v>
      </c>
      <c r="AR23" s="3">
        <v>32432</v>
      </c>
      <c r="AS23" s="3">
        <v>6306</v>
      </c>
      <c r="AT23" s="3">
        <v>5413</v>
      </c>
      <c r="AU23" s="3">
        <v>4396</v>
      </c>
      <c r="AV23" s="3">
        <v>3418</v>
      </c>
      <c r="AW23" s="3">
        <v>2361</v>
      </c>
      <c r="AX23" s="3">
        <v>1870</v>
      </c>
      <c r="AY23" s="3">
        <v>1844</v>
      </c>
      <c r="AZ23" s="3">
        <v>1502</v>
      </c>
      <c r="BA23" s="3">
        <v>1370</v>
      </c>
      <c r="BB23" s="3">
        <v>991</v>
      </c>
      <c r="BC23" s="3">
        <v>759</v>
      </c>
      <c r="BD23" s="3">
        <v>616</v>
      </c>
      <c r="BE23" s="3">
        <v>537</v>
      </c>
      <c r="BF23" s="3">
        <v>376</v>
      </c>
      <c r="BG23" s="3">
        <v>303</v>
      </c>
      <c r="BH23" s="3">
        <v>195</v>
      </c>
      <c r="BI23" s="3">
        <v>175</v>
      </c>
    </row>
    <row r="24" spans="1:61" x14ac:dyDescent="0.25">
      <c r="A24" s="12" t="s">
        <v>3</v>
      </c>
      <c r="B24" s="12" t="s">
        <v>291</v>
      </c>
      <c r="C24" s="2" t="s">
        <v>174</v>
      </c>
      <c r="D24" s="2" t="s">
        <v>387</v>
      </c>
      <c r="E24" s="2" t="s">
        <v>175</v>
      </c>
      <c r="F24" s="2" t="s">
        <v>175</v>
      </c>
      <c r="G24" s="2">
        <v>2020</v>
      </c>
      <c r="H24" s="3">
        <v>193040</v>
      </c>
      <c r="I24" s="3">
        <v>33628</v>
      </c>
      <c r="J24" s="3">
        <v>28306</v>
      </c>
      <c r="K24" s="3">
        <v>25145</v>
      </c>
      <c r="L24" s="3">
        <v>21684</v>
      </c>
      <c r="M24" s="3">
        <v>18051</v>
      </c>
      <c r="N24" s="3">
        <v>14584</v>
      </c>
      <c r="O24" s="3">
        <v>12518</v>
      </c>
      <c r="P24" s="3">
        <v>10272</v>
      </c>
      <c r="Q24" s="3">
        <v>8541</v>
      </c>
      <c r="R24" s="3">
        <v>5995</v>
      </c>
      <c r="S24" s="3">
        <v>4439</v>
      </c>
      <c r="T24" s="3">
        <v>2993</v>
      </c>
      <c r="U24" s="3">
        <v>2400</v>
      </c>
      <c r="V24" s="3">
        <v>1726</v>
      </c>
      <c r="W24" s="3">
        <v>1279</v>
      </c>
      <c r="X24" s="3">
        <v>807</v>
      </c>
      <c r="Y24" s="3">
        <v>672</v>
      </c>
      <c r="Z24" s="3">
        <v>98148</v>
      </c>
      <c r="AA24" s="3">
        <v>16886</v>
      </c>
      <c r="AB24" s="3">
        <v>14223</v>
      </c>
      <c r="AC24" s="3">
        <v>12401</v>
      </c>
      <c r="AD24" s="3">
        <v>11099</v>
      </c>
      <c r="AE24" s="3">
        <v>9261</v>
      </c>
      <c r="AF24" s="3">
        <v>7497</v>
      </c>
      <c r="AG24" s="3">
        <v>6471</v>
      </c>
      <c r="AH24" s="3">
        <v>5486</v>
      </c>
      <c r="AI24" s="3">
        <v>4597</v>
      </c>
      <c r="AJ24" s="3">
        <v>3252</v>
      </c>
      <c r="AK24" s="3">
        <v>2349</v>
      </c>
      <c r="AL24" s="3">
        <v>1505</v>
      </c>
      <c r="AM24" s="3">
        <v>1088</v>
      </c>
      <c r="AN24" s="3">
        <v>828</v>
      </c>
      <c r="AO24" s="3">
        <v>593</v>
      </c>
      <c r="AP24" s="3">
        <v>344</v>
      </c>
      <c r="AQ24" s="3">
        <v>268</v>
      </c>
      <c r="AR24" s="3">
        <v>94892</v>
      </c>
      <c r="AS24" s="3">
        <v>16742</v>
      </c>
      <c r="AT24" s="3">
        <v>14083</v>
      </c>
      <c r="AU24" s="3">
        <v>12744</v>
      </c>
      <c r="AV24" s="3">
        <v>10585</v>
      </c>
      <c r="AW24" s="3">
        <v>8790</v>
      </c>
      <c r="AX24" s="3">
        <v>7087</v>
      </c>
      <c r="AY24" s="3">
        <v>6047</v>
      </c>
      <c r="AZ24" s="3">
        <v>4786</v>
      </c>
      <c r="BA24" s="3">
        <v>3944</v>
      </c>
      <c r="BB24" s="3">
        <v>2743</v>
      </c>
      <c r="BC24" s="3">
        <v>2090</v>
      </c>
      <c r="BD24" s="3">
        <v>1488</v>
      </c>
      <c r="BE24" s="3">
        <v>1312</v>
      </c>
      <c r="BF24" s="3">
        <v>898</v>
      </c>
      <c r="BG24" s="3">
        <v>686</v>
      </c>
      <c r="BH24" s="3">
        <v>463</v>
      </c>
      <c r="BI24" s="3">
        <v>404</v>
      </c>
    </row>
    <row r="25" spans="1:61" x14ac:dyDescent="0.25">
      <c r="A25" s="12" t="s">
        <v>3</v>
      </c>
      <c r="B25" s="12" t="s">
        <v>291</v>
      </c>
      <c r="C25" s="2" t="s">
        <v>174</v>
      </c>
      <c r="D25" s="2" t="s">
        <v>387</v>
      </c>
      <c r="E25" s="2" t="s">
        <v>175</v>
      </c>
      <c r="F25" s="2" t="s">
        <v>176</v>
      </c>
      <c r="G25" s="2">
        <v>2020</v>
      </c>
      <c r="H25" s="3">
        <v>67881</v>
      </c>
      <c r="I25" s="3">
        <v>12290</v>
      </c>
      <c r="J25" s="3">
        <v>10574</v>
      </c>
      <c r="K25" s="3">
        <v>9400</v>
      </c>
      <c r="L25" s="3">
        <v>7526</v>
      </c>
      <c r="M25" s="3">
        <v>5137</v>
      </c>
      <c r="N25" s="3">
        <v>4111</v>
      </c>
      <c r="O25" s="3">
        <v>3471</v>
      </c>
      <c r="P25" s="3">
        <v>3074</v>
      </c>
      <c r="Q25" s="3">
        <v>2819</v>
      </c>
      <c r="R25" s="3">
        <v>2180</v>
      </c>
      <c r="S25" s="3">
        <v>1869</v>
      </c>
      <c r="T25" s="3">
        <v>1389</v>
      </c>
      <c r="U25" s="3">
        <v>1328</v>
      </c>
      <c r="V25" s="3">
        <v>1045</v>
      </c>
      <c r="W25" s="3">
        <v>775</v>
      </c>
      <c r="X25" s="3">
        <v>488</v>
      </c>
      <c r="Y25" s="3">
        <v>405</v>
      </c>
      <c r="Z25" s="3">
        <v>34612</v>
      </c>
      <c r="AA25" s="3">
        <v>6180</v>
      </c>
      <c r="AB25" s="3">
        <v>5491</v>
      </c>
      <c r="AC25" s="3">
        <v>4900</v>
      </c>
      <c r="AD25" s="3">
        <v>4082</v>
      </c>
      <c r="AE25" s="3">
        <v>2658</v>
      </c>
      <c r="AF25" s="3">
        <v>2103</v>
      </c>
      <c r="AG25" s="3">
        <v>1774</v>
      </c>
      <c r="AH25" s="3">
        <v>1571</v>
      </c>
      <c r="AI25" s="3">
        <v>1393</v>
      </c>
      <c r="AJ25" s="3">
        <v>1114</v>
      </c>
      <c r="AK25" s="3">
        <v>882</v>
      </c>
      <c r="AL25" s="3">
        <v>621</v>
      </c>
      <c r="AM25" s="3">
        <v>603</v>
      </c>
      <c r="AN25" s="3">
        <v>506</v>
      </c>
      <c r="AO25" s="3">
        <v>362</v>
      </c>
      <c r="AP25" s="3">
        <v>209</v>
      </c>
      <c r="AQ25" s="3">
        <v>163</v>
      </c>
      <c r="AR25" s="3">
        <v>33269</v>
      </c>
      <c r="AS25" s="3">
        <v>6110</v>
      </c>
      <c r="AT25" s="3">
        <v>5083</v>
      </c>
      <c r="AU25" s="3">
        <v>4500</v>
      </c>
      <c r="AV25" s="3">
        <v>3444</v>
      </c>
      <c r="AW25" s="3">
        <v>2479</v>
      </c>
      <c r="AX25" s="3">
        <v>2008</v>
      </c>
      <c r="AY25" s="3">
        <v>1697</v>
      </c>
      <c r="AZ25" s="3">
        <v>1503</v>
      </c>
      <c r="BA25" s="3">
        <v>1426</v>
      </c>
      <c r="BB25" s="3">
        <v>1066</v>
      </c>
      <c r="BC25" s="3">
        <v>987</v>
      </c>
      <c r="BD25" s="3">
        <v>768</v>
      </c>
      <c r="BE25" s="3">
        <v>725</v>
      </c>
      <c r="BF25" s="3">
        <v>539</v>
      </c>
      <c r="BG25" s="3">
        <v>413</v>
      </c>
      <c r="BH25" s="3">
        <v>279</v>
      </c>
      <c r="BI25" s="3">
        <v>242</v>
      </c>
    </row>
    <row r="26" spans="1:61" x14ac:dyDescent="0.25">
      <c r="A26" s="12" t="s">
        <v>3</v>
      </c>
      <c r="B26" s="12" t="s">
        <v>291</v>
      </c>
      <c r="C26" s="2" t="s">
        <v>231</v>
      </c>
      <c r="D26" s="2" t="s">
        <v>470</v>
      </c>
      <c r="E26" s="2" t="s">
        <v>235</v>
      </c>
      <c r="F26" s="2" t="s">
        <v>235</v>
      </c>
      <c r="G26" s="2">
        <v>2020</v>
      </c>
      <c r="H26" s="3">
        <v>79926</v>
      </c>
      <c r="I26" s="3">
        <v>15727</v>
      </c>
      <c r="J26" s="3">
        <v>13463</v>
      </c>
      <c r="K26" s="3">
        <v>10881</v>
      </c>
      <c r="L26" s="3">
        <v>8660</v>
      </c>
      <c r="M26" s="3">
        <v>7163</v>
      </c>
      <c r="N26" s="3">
        <v>5309</v>
      </c>
      <c r="O26" s="3">
        <v>4094</v>
      </c>
      <c r="P26" s="3">
        <v>3589</v>
      </c>
      <c r="Q26" s="3">
        <v>3154</v>
      </c>
      <c r="R26" s="3">
        <v>2510</v>
      </c>
      <c r="S26" s="3">
        <v>1590</v>
      </c>
      <c r="T26" s="3">
        <v>1143</v>
      </c>
      <c r="U26" s="3">
        <v>893</v>
      </c>
      <c r="V26" s="3">
        <v>661</v>
      </c>
      <c r="W26" s="3">
        <v>499</v>
      </c>
      <c r="X26" s="3">
        <v>318</v>
      </c>
      <c r="Y26" s="3">
        <v>272</v>
      </c>
      <c r="Z26" s="3">
        <v>39497</v>
      </c>
      <c r="AA26" s="3">
        <v>7986</v>
      </c>
      <c r="AB26" s="3">
        <v>6762</v>
      </c>
      <c r="AC26" s="3">
        <v>5505</v>
      </c>
      <c r="AD26" s="3">
        <v>4412</v>
      </c>
      <c r="AE26" s="3">
        <v>3769</v>
      </c>
      <c r="AF26" s="3">
        <v>2567</v>
      </c>
      <c r="AG26" s="3">
        <v>1855</v>
      </c>
      <c r="AH26" s="3">
        <v>1646</v>
      </c>
      <c r="AI26" s="3">
        <v>1405</v>
      </c>
      <c r="AJ26" s="3">
        <v>1240</v>
      </c>
      <c r="AK26" s="3">
        <v>804</v>
      </c>
      <c r="AL26" s="3">
        <v>504</v>
      </c>
      <c r="AM26" s="3">
        <v>359</v>
      </c>
      <c r="AN26" s="3">
        <v>299</v>
      </c>
      <c r="AO26" s="3">
        <v>164</v>
      </c>
      <c r="AP26" s="3">
        <v>128</v>
      </c>
      <c r="AQ26" s="3">
        <v>92</v>
      </c>
      <c r="AR26" s="3">
        <v>40429</v>
      </c>
      <c r="AS26" s="3">
        <v>7741</v>
      </c>
      <c r="AT26" s="3">
        <v>6701</v>
      </c>
      <c r="AU26" s="3">
        <v>5376</v>
      </c>
      <c r="AV26" s="3">
        <v>4248</v>
      </c>
      <c r="AW26" s="3">
        <v>3394</v>
      </c>
      <c r="AX26" s="3">
        <v>2742</v>
      </c>
      <c r="AY26" s="3">
        <v>2239</v>
      </c>
      <c r="AZ26" s="3">
        <v>1943</v>
      </c>
      <c r="BA26" s="3">
        <v>1749</v>
      </c>
      <c r="BB26" s="3">
        <v>1270</v>
      </c>
      <c r="BC26" s="3">
        <v>786</v>
      </c>
      <c r="BD26" s="3">
        <v>639</v>
      </c>
      <c r="BE26" s="3">
        <v>534</v>
      </c>
      <c r="BF26" s="3">
        <v>362</v>
      </c>
      <c r="BG26" s="3">
        <v>335</v>
      </c>
      <c r="BH26" s="3">
        <v>190</v>
      </c>
      <c r="BI26" s="3">
        <v>180</v>
      </c>
    </row>
    <row r="27" spans="1:61" x14ac:dyDescent="0.25">
      <c r="A27" s="12" t="s">
        <v>3</v>
      </c>
      <c r="B27" s="12" t="s">
        <v>291</v>
      </c>
      <c r="C27" s="2" t="s">
        <v>215</v>
      </c>
      <c r="D27" s="2" t="s">
        <v>422</v>
      </c>
      <c r="E27" s="2" t="s">
        <v>217</v>
      </c>
      <c r="F27" s="2" t="s">
        <v>217</v>
      </c>
      <c r="G27" s="2">
        <v>2020</v>
      </c>
      <c r="H27" s="3">
        <v>33631</v>
      </c>
      <c r="I27" s="3">
        <v>6484</v>
      </c>
      <c r="J27" s="3">
        <v>5601</v>
      </c>
      <c r="K27" s="3">
        <v>4680</v>
      </c>
      <c r="L27" s="3">
        <v>3601</v>
      </c>
      <c r="M27" s="3">
        <v>2634</v>
      </c>
      <c r="N27" s="3">
        <v>2146</v>
      </c>
      <c r="O27" s="3">
        <v>1713</v>
      </c>
      <c r="P27" s="3">
        <v>1360</v>
      </c>
      <c r="Q27" s="3">
        <v>1395</v>
      </c>
      <c r="R27" s="3">
        <v>1149</v>
      </c>
      <c r="S27" s="3">
        <v>798</v>
      </c>
      <c r="T27" s="3">
        <v>600</v>
      </c>
      <c r="U27" s="3">
        <v>486</v>
      </c>
      <c r="V27" s="3">
        <v>331</v>
      </c>
      <c r="W27" s="3">
        <v>279</v>
      </c>
      <c r="X27" s="3">
        <v>203</v>
      </c>
      <c r="Y27" s="3">
        <v>171</v>
      </c>
      <c r="Z27" s="3">
        <v>16675</v>
      </c>
      <c r="AA27" s="3">
        <v>3294</v>
      </c>
      <c r="AB27" s="3">
        <v>2829</v>
      </c>
      <c r="AC27" s="3">
        <v>2446</v>
      </c>
      <c r="AD27" s="3">
        <v>1957</v>
      </c>
      <c r="AE27" s="3">
        <v>1357</v>
      </c>
      <c r="AF27" s="3">
        <v>1009</v>
      </c>
      <c r="AG27" s="3">
        <v>801</v>
      </c>
      <c r="AH27" s="3">
        <v>591</v>
      </c>
      <c r="AI27" s="3">
        <v>656</v>
      </c>
      <c r="AJ27" s="3">
        <v>518</v>
      </c>
      <c r="AK27" s="3">
        <v>386</v>
      </c>
      <c r="AL27" s="3">
        <v>267</v>
      </c>
      <c r="AM27" s="3">
        <v>176</v>
      </c>
      <c r="AN27" s="3">
        <v>137</v>
      </c>
      <c r="AO27" s="3">
        <v>111</v>
      </c>
      <c r="AP27" s="3">
        <v>80</v>
      </c>
      <c r="AQ27" s="3">
        <v>60</v>
      </c>
      <c r="AR27" s="3">
        <v>16956</v>
      </c>
      <c r="AS27" s="3">
        <v>3190</v>
      </c>
      <c r="AT27" s="3">
        <v>2772</v>
      </c>
      <c r="AU27" s="3">
        <v>2234</v>
      </c>
      <c r="AV27" s="3">
        <v>1644</v>
      </c>
      <c r="AW27" s="3">
        <v>1277</v>
      </c>
      <c r="AX27" s="3">
        <v>1137</v>
      </c>
      <c r="AY27" s="3">
        <v>912</v>
      </c>
      <c r="AZ27" s="3">
        <v>769</v>
      </c>
      <c r="BA27" s="3">
        <v>739</v>
      </c>
      <c r="BB27" s="3">
        <v>631</v>
      </c>
      <c r="BC27" s="3">
        <v>412</v>
      </c>
      <c r="BD27" s="3">
        <v>333</v>
      </c>
      <c r="BE27" s="3">
        <v>310</v>
      </c>
      <c r="BF27" s="3">
        <v>194</v>
      </c>
      <c r="BG27" s="3">
        <v>168</v>
      </c>
      <c r="BH27" s="3">
        <v>123</v>
      </c>
      <c r="BI27" s="3">
        <v>111</v>
      </c>
    </row>
    <row r="28" spans="1:61" x14ac:dyDescent="0.25">
      <c r="A28" s="12" t="s">
        <v>3</v>
      </c>
      <c r="B28" s="12" t="s">
        <v>291</v>
      </c>
      <c r="C28" s="2" t="s">
        <v>113</v>
      </c>
      <c r="D28" s="2" t="s">
        <v>404</v>
      </c>
      <c r="E28" s="2" t="s">
        <v>193</v>
      </c>
      <c r="F28" s="2" t="s">
        <v>193</v>
      </c>
      <c r="G28" s="2">
        <v>2020</v>
      </c>
      <c r="H28" s="3">
        <v>88538</v>
      </c>
      <c r="I28" s="3">
        <v>16134</v>
      </c>
      <c r="J28" s="3">
        <v>14212</v>
      </c>
      <c r="K28" s="3">
        <v>11572</v>
      </c>
      <c r="L28" s="3">
        <v>9608</v>
      </c>
      <c r="M28" s="3">
        <v>7731</v>
      </c>
      <c r="N28" s="3">
        <v>5928</v>
      </c>
      <c r="O28" s="3">
        <v>4479</v>
      </c>
      <c r="P28" s="3">
        <v>4375</v>
      </c>
      <c r="Q28" s="3">
        <v>3777</v>
      </c>
      <c r="R28" s="3">
        <v>2960</v>
      </c>
      <c r="S28" s="3">
        <v>2219</v>
      </c>
      <c r="T28" s="3">
        <v>1668</v>
      </c>
      <c r="U28" s="3">
        <v>1355</v>
      </c>
      <c r="V28" s="3">
        <v>985</v>
      </c>
      <c r="W28" s="3">
        <v>743</v>
      </c>
      <c r="X28" s="3">
        <v>449</v>
      </c>
      <c r="Y28" s="3">
        <v>343</v>
      </c>
      <c r="Z28" s="3">
        <v>43822</v>
      </c>
      <c r="AA28" s="3">
        <v>8134</v>
      </c>
      <c r="AB28" s="3">
        <v>7153</v>
      </c>
      <c r="AC28" s="3">
        <v>5891</v>
      </c>
      <c r="AD28" s="3">
        <v>4772</v>
      </c>
      <c r="AE28" s="3">
        <v>3924</v>
      </c>
      <c r="AF28" s="3">
        <v>2964</v>
      </c>
      <c r="AG28" s="3">
        <v>2123</v>
      </c>
      <c r="AH28" s="3">
        <v>2001</v>
      </c>
      <c r="AI28" s="3">
        <v>1841</v>
      </c>
      <c r="AJ28" s="3">
        <v>1450</v>
      </c>
      <c r="AK28" s="3">
        <v>1101</v>
      </c>
      <c r="AL28" s="3">
        <v>763</v>
      </c>
      <c r="AM28" s="3">
        <v>555</v>
      </c>
      <c r="AN28" s="3">
        <v>456</v>
      </c>
      <c r="AO28" s="3">
        <v>335</v>
      </c>
      <c r="AP28" s="3">
        <v>228</v>
      </c>
      <c r="AQ28" s="3">
        <v>131</v>
      </c>
      <c r="AR28" s="3">
        <v>44716</v>
      </c>
      <c r="AS28" s="3">
        <v>8000</v>
      </c>
      <c r="AT28" s="3">
        <v>7059</v>
      </c>
      <c r="AU28" s="3">
        <v>5681</v>
      </c>
      <c r="AV28" s="3">
        <v>4836</v>
      </c>
      <c r="AW28" s="3">
        <v>3807</v>
      </c>
      <c r="AX28" s="3">
        <v>2964</v>
      </c>
      <c r="AY28" s="3">
        <v>2356</v>
      </c>
      <c r="AZ28" s="3">
        <v>2374</v>
      </c>
      <c r="BA28" s="3">
        <v>1936</v>
      </c>
      <c r="BB28" s="3">
        <v>1510</v>
      </c>
      <c r="BC28" s="3">
        <v>1118</v>
      </c>
      <c r="BD28" s="3">
        <v>905</v>
      </c>
      <c r="BE28" s="3">
        <v>800</v>
      </c>
      <c r="BF28" s="3">
        <v>529</v>
      </c>
      <c r="BG28" s="3">
        <v>408</v>
      </c>
      <c r="BH28" s="3">
        <v>221</v>
      </c>
      <c r="BI28" s="3">
        <v>212</v>
      </c>
    </row>
    <row r="29" spans="1:61" x14ac:dyDescent="0.25">
      <c r="A29" s="12" t="s">
        <v>3</v>
      </c>
      <c r="B29" s="12" t="s">
        <v>291</v>
      </c>
      <c r="C29" s="2" t="s">
        <v>231</v>
      </c>
      <c r="D29" s="2" t="s">
        <v>470</v>
      </c>
      <c r="E29" s="2" t="s">
        <v>236</v>
      </c>
      <c r="F29" s="2" t="s">
        <v>236</v>
      </c>
      <c r="G29" s="2">
        <v>2020</v>
      </c>
      <c r="H29" s="3">
        <v>105475</v>
      </c>
      <c r="I29" s="3">
        <v>20484</v>
      </c>
      <c r="J29" s="3">
        <v>17399</v>
      </c>
      <c r="K29" s="3">
        <v>14037</v>
      </c>
      <c r="L29" s="3">
        <v>11132</v>
      </c>
      <c r="M29" s="3">
        <v>9178</v>
      </c>
      <c r="N29" s="3">
        <v>7056</v>
      </c>
      <c r="O29" s="3">
        <v>6163</v>
      </c>
      <c r="P29" s="3">
        <v>4918</v>
      </c>
      <c r="Q29" s="3">
        <v>4161</v>
      </c>
      <c r="R29" s="3">
        <v>3045</v>
      </c>
      <c r="S29" s="3">
        <v>2258</v>
      </c>
      <c r="T29" s="3">
        <v>1721</v>
      </c>
      <c r="U29" s="3">
        <v>1283</v>
      </c>
      <c r="V29" s="3">
        <v>978</v>
      </c>
      <c r="W29" s="3">
        <v>773</v>
      </c>
      <c r="X29" s="3">
        <v>486</v>
      </c>
      <c r="Y29" s="3">
        <v>403</v>
      </c>
      <c r="Z29" s="3">
        <v>52911</v>
      </c>
      <c r="AA29" s="3">
        <v>10321</v>
      </c>
      <c r="AB29" s="3">
        <v>8775</v>
      </c>
      <c r="AC29" s="3">
        <v>7112</v>
      </c>
      <c r="AD29" s="3">
        <v>5683</v>
      </c>
      <c r="AE29" s="3">
        <v>4641</v>
      </c>
      <c r="AF29" s="3">
        <v>3465</v>
      </c>
      <c r="AG29" s="3">
        <v>3104</v>
      </c>
      <c r="AH29" s="3">
        <v>2463</v>
      </c>
      <c r="AI29" s="3">
        <v>1974</v>
      </c>
      <c r="AJ29" s="3">
        <v>1519</v>
      </c>
      <c r="AK29" s="3">
        <v>1150</v>
      </c>
      <c r="AL29" s="3">
        <v>862</v>
      </c>
      <c r="AM29" s="3">
        <v>592</v>
      </c>
      <c r="AN29" s="3">
        <v>447</v>
      </c>
      <c r="AO29" s="3">
        <v>374</v>
      </c>
      <c r="AP29" s="3">
        <v>249</v>
      </c>
      <c r="AQ29" s="3">
        <v>180</v>
      </c>
      <c r="AR29" s="3">
        <v>52564</v>
      </c>
      <c r="AS29" s="3">
        <v>10163</v>
      </c>
      <c r="AT29" s="3">
        <v>8624</v>
      </c>
      <c r="AU29" s="3">
        <v>6925</v>
      </c>
      <c r="AV29" s="3">
        <v>5449</v>
      </c>
      <c r="AW29" s="3">
        <v>4537</v>
      </c>
      <c r="AX29" s="3">
        <v>3591</v>
      </c>
      <c r="AY29" s="3">
        <v>3059</v>
      </c>
      <c r="AZ29" s="3">
        <v>2455</v>
      </c>
      <c r="BA29" s="3">
        <v>2187</v>
      </c>
      <c r="BB29" s="3">
        <v>1526</v>
      </c>
      <c r="BC29" s="3">
        <v>1108</v>
      </c>
      <c r="BD29" s="3">
        <v>859</v>
      </c>
      <c r="BE29" s="3">
        <v>691</v>
      </c>
      <c r="BF29" s="3">
        <v>531</v>
      </c>
      <c r="BG29" s="3">
        <v>399</v>
      </c>
      <c r="BH29" s="3">
        <v>237</v>
      </c>
      <c r="BI29" s="3">
        <v>223</v>
      </c>
    </row>
    <row r="30" spans="1:61" x14ac:dyDescent="0.25">
      <c r="A30" s="12" t="s">
        <v>3</v>
      </c>
      <c r="B30" s="12" t="s">
        <v>291</v>
      </c>
      <c r="C30" s="2" t="s">
        <v>215</v>
      </c>
      <c r="D30" s="2" t="s">
        <v>422</v>
      </c>
      <c r="E30" s="2" t="s">
        <v>218</v>
      </c>
      <c r="F30" s="2" t="s">
        <v>219</v>
      </c>
      <c r="G30" s="2">
        <v>2020</v>
      </c>
      <c r="H30" s="3">
        <v>61246</v>
      </c>
      <c r="I30" s="3">
        <v>11700</v>
      </c>
      <c r="J30" s="3">
        <v>10169</v>
      </c>
      <c r="K30" s="3">
        <v>8500</v>
      </c>
      <c r="L30" s="3">
        <v>6240</v>
      </c>
      <c r="M30" s="3">
        <v>4957</v>
      </c>
      <c r="N30" s="3">
        <v>3787</v>
      </c>
      <c r="O30" s="3">
        <v>3400</v>
      </c>
      <c r="P30" s="3">
        <v>2789</v>
      </c>
      <c r="Q30" s="3">
        <v>2697</v>
      </c>
      <c r="R30" s="3">
        <v>1815</v>
      </c>
      <c r="S30" s="3">
        <v>1184</v>
      </c>
      <c r="T30" s="3">
        <v>1056</v>
      </c>
      <c r="U30" s="3">
        <v>893</v>
      </c>
      <c r="V30" s="3">
        <v>690</v>
      </c>
      <c r="W30" s="3">
        <v>568</v>
      </c>
      <c r="X30" s="3">
        <v>424</v>
      </c>
      <c r="Y30" s="3">
        <v>377</v>
      </c>
      <c r="Z30" s="3">
        <v>30326</v>
      </c>
      <c r="AA30" s="3">
        <v>5950</v>
      </c>
      <c r="AB30" s="3">
        <v>5075</v>
      </c>
      <c r="AC30" s="3">
        <v>4456</v>
      </c>
      <c r="AD30" s="3">
        <v>3259</v>
      </c>
      <c r="AE30" s="3">
        <v>2575</v>
      </c>
      <c r="AF30" s="3">
        <v>1796</v>
      </c>
      <c r="AG30" s="3">
        <v>1607</v>
      </c>
      <c r="AH30" s="3">
        <v>1256</v>
      </c>
      <c r="AI30" s="3">
        <v>1248</v>
      </c>
      <c r="AJ30" s="3">
        <v>895</v>
      </c>
      <c r="AK30" s="3">
        <v>535</v>
      </c>
      <c r="AL30" s="3">
        <v>472</v>
      </c>
      <c r="AM30" s="3">
        <v>339</v>
      </c>
      <c r="AN30" s="3">
        <v>269</v>
      </c>
      <c r="AO30" s="3">
        <v>238</v>
      </c>
      <c r="AP30" s="3">
        <v>193</v>
      </c>
      <c r="AQ30" s="3">
        <v>163</v>
      </c>
      <c r="AR30" s="3">
        <v>30920</v>
      </c>
      <c r="AS30" s="3">
        <v>5750</v>
      </c>
      <c r="AT30" s="3">
        <v>5094</v>
      </c>
      <c r="AU30" s="3">
        <v>4044</v>
      </c>
      <c r="AV30" s="3">
        <v>2981</v>
      </c>
      <c r="AW30" s="3">
        <v>2382</v>
      </c>
      <c r="AX30" s="3">
        <v>1991</v>
      </c>
      <c r="AY30" s="3">
        <v>1793</v>
      </c>
      <c r="AZ30" s="3">
        <v>1533</v>
      </c>
      <c r="BA30" s="3">
        <v>1449</v>
      </c>
      <c r="BB30" s="3">
        <v>920</v>
      </c>
      <c r="BC30" s="3">
        <v>649</v>
      </c>
      <c r="BD30" s="3">
        <v>584</v>
      </c>
      <c r="BE30" s="3">
        <v>554</v>
      </c>
      <c r="BF30" s="3">
        <v>421</v>
      </c>
      <c r="BG30" s="3">
        <v>330</v>
      </c>
      <c r="BH30" s="3">
        <v>231</v>
      </c>
      <c r="BI30" s="3">
        <v>214</v>
      </c>
    </row>
    <row r="31" spans="1:61" x14ac:dyDescent="0.25">
      <c r="A31" s="12" t="s">
        <v>3</v>
      </c>
      <c r="B31" s="12" t="s">
        <v>291</v>
      </c>
      <c r="C31" s="2" t="s">
        <v>215</v>
      </c>
      <c r="D31" s="2" t="s">
        <v>422</v>
      </c>
      <c r="E31" s="2" t="s">
        <v>218</v>
      </c>
      <c r="F31" s="2" t="s">
        <v>220</v>
      </c>
      <c r="G31" s="2">
        <v>2020</v>
      </c>
      <c r="H31" s="3">
        <v>55029</v>
      </c>
      <c r="I31" s="3">
        <v>10235</v>
      </c>
      <c r="J31" s="3">
        <v>8952</v>
      </c>
      <c r="K31" s="3">
        <v>7494</v>
      </c>
      <c r="L31" s="3">
        <v>5873</v>
      </c>
      <c r="M31" s="3">
        <v>4509</v>
      </c>
      <c r="N31" s="3">
        <v>3522</v>
      </c>
      <c r="O31" s="3">
        <v>3095</v>
      </c>
      <c r="P31" s="3">
        <v>2675</v>
      </c>
      <c r="Q31" s="3">
        <v>2349</v>
      </c>
      <c r="R31" s="3">
        <v>1655</v>
      </c>
      <c r="S31" s="3">
        <v>1267</v>
      </c>
      <c r="T31" s="3">
        <v>978</v>
      </c>
      <c r="U31" s="3">
        <v>768</v>
      </c>
      <c r="V31" s="3">
        <v>559</v>
      </c>
      <c r="W31" s="3">
        <v>459</v>
      </c>
      <c r="X31" s="3">
        <v>338</v>
      </c>
      <c r="Y31" s="3">
        <v>301</v>
      </c>
      <c r="Z31" s="3">
        <v>27171</v>
      </c>
      <c r="AA31" s="3">
        <v>5191</v>
      </c>
      <c r="AB31" s="3">
        <v>4585</v>
      </c>
      <c r="AC31" s="3">
        <v>3724</v>
      </c>
      <c r="AD31" s="3">
        <v>2943</v>
      </c>
      <c r="AE31" s="3">
        <v>2317</v>
      </c>
      <c r="AF31" s="3">
        <v>1689</v>
      </c>
      <c r="AG31" s="3">
        <v>1465</v>
      </c>
      <c r="AH31" s="3">
        <v>1216</v>
      </c>
      <c r="AI31" s="3">
        <v>1082</v>
      </c>
      <c r="AJ31" s="3">
        <v>813</v>
      </c>
      <c r="AK31" s="3">
        <v>617</v>
      </c>
      <c r="AL31" s="3">
        <v>444</v>
      </c>
      <c r="AM31" s="3">
        <v>318</v>
      </c>
      <c r="AN31" s="3">
        <v>242</v>
      </c>
      <c r="AO31" s="3">
        <v>212</v>
      </c>
      <c r="AP31" s="3">
        <v>170</v>
      </c>
      <c r="AQ31" s="3">
        <v>143</v>
      </c>
      <c r="AR31" s="3">
        <v>27858</v>
      </c>
      <c r="AS31" s="3">
        <v>5044</v>
      </c>
      <c r="AT31" s="3">
        <v>4367</v>
      </c>
      <c r="AU31" s="3">
        <v>3770</v>
      </c>
      <c r="AV31" s="3">
        <v>2930</v>
      </c>
      <c r="AW31" s="3">
        <v>2192</v>
      </c>
      <c r="AX31" s="3">
        <v>1833</v>
      </c>
      <c r="AY31" s="3">
        <v>1630</v>
      </c>
      <c r="AZ31" s="3">
        <v>1459</v>
      </c>
      <c r="BA31" s="3">
        <v>1267</v>
      </c>
      <c r="BB31" s="3">
        <v>842</v>
      </c>
      <c r="BC31" s="3">
        <v>650</v>
      </c>
      <c r="BD31" s="3">
        <v>534</v>
      </c>
      <c r="BE31" s="3">
        <v>450</v>
      </c>
      <c r="BF31" s="3">
        <v>317</v>
      </c>
      <c r="BG31" s="3">
        <v>247</v>
      </c>
      <c r="BH31" s="3">
        <v>168</v>
      </c>
      <c r="BI31" s="3">
        <v>158</v>
      </c>
    </row>
    <row r="32" spans="1:61" x14ac:dyDescent="0.25">
      <c r="A32" s="12" t="s">
        <v>3</v>
      </c>
      <c r="B32" s="12" t="s">
        <v>291</v>
      </c>
      <c r="C32" s="2" t="s">
        <v>96</v>
      </c>
      <c r="D32" s="2" t="s">
        <v>290</v>
      </c>
      <c r="E32" s="2" t="s">
        <v>101</v>
      </c>
      <c r="F32" s="2" t="s">
        <v>102</v>
      </c>
      <c r="G32" s="2">
        <v>2020</v>
      </c>
      <c r="H32" s="3">
        <v>94138</v>
      </c>
      <c r="I32" s="3">
        <v>14585</v>
      </c>
      <c r="J32" s="3">
        <v>12977</v>
      </c>
      <c r="K32" s="3">
        <v>12302</v>
      </c>
      <c r="L32" s="3">
        <v>11559</v>
      </c>
      <c r="M32" s="3">
        <v>8945</v>
      </c>
      <c r="N32" s="3">
        <v>6848</v>
      </c>
      <c r="O32" s="3">
        <v>5962</v>
      </c>
      <c r="P32" s="3">
        <v>5177</v>
      </c>
      <c r="Q32" s="3">
        <v>4601</v>
      </c>
      <c r="R32" s="3">
        <v>3209</v>
      </c>
      <c r="S32" s="3">
        <v>2517</v>
      </c>
      <c r="T32" s="3">
        <v>1887</v>
      </c>
      <c r="U32" s="3">
        <v>1343</v>
      </c>
      <c r="V32" s="3">
        <v>880</v>
      </c>
      <c r="W32" s="3">
        <v>650</v>
      </c>
      <c r="X32" s="3">
        <v>384</v>
      </c>
      <c r="Y32" s="3">
        <v>312</v>
      </c>
      <c r="Z32" s="3">
        <v>47138</v>
      </c>
      <c r="AA32" s="3">
        <v>7430</v>
      </c>
      <c r="AB32" s="3">
        <v>6526</v>
      </c>
      <c r="AC32" s="3">
        <v>6023</v>
      </c>
      <c r="AD32" s="3">
        <v>5745</v>
      </c>
      <c r="AE32" s="3">
        <v>4570</v>
      </c>
      <c r="AF32" s="3">
        <v>3378</v>
      </c>
      <c r="AG32" s="3">
        <v>2944</v>
      </c>
      <c r="AH32" s="3">
        <v>2692</v>
      </c>
      <c r="AI32" s="3">
        <v>2425</v>
      </c>
      <c r="AJ32" s="3">
        <v>1581</v>
      </c>
      <c r="AK32" s="3">
        <v>1250</v>
      </c>
      <c r="AL32" s="3">
        <v>924</v>
      </c>
      <c r="AM32" s="3">
        <v>662</v>
      </c>
      <c r="AN32" s="3">
        <v>455</v>
      </c>
      <c r="AO32" s="3">
        <v>290</v>
      </c>
      <c r="AP32" s="3">
        <v>139</v>
      </c>
      <c r="AQ32" s="3">
        <v>104</v>
      </c>
      <c r="AR32" s="3">
        <v>47000</v>
      </c>
      <c r="AS32" s="3">
        <v>7155</v>
      </c>
      <c r="AT32" s="3">
        <v>6451</v>
      </c>
      <c r="AU32" s="3">
        <v>6279</v>
      </c>
      <c r="AV32" s="3">
        <v>5814</v>
      </c>
      <c r="AW32" s="3">
        <v>4375</v>
      </c>
      <c r="AX32" s="3">
        <v>3470</v>
      </c>
      <c r="AY32" s="3">
        <v>3018</v>
      </c>
      <c r="AZ32" s="3">
        <v>2485</v>
      </c>
      <c r="BA32" s="3">
        <v>2176</v>
      </c>
      <c r="BB32" s="3">
        <v>1628</v>
      </c>
      <c r="BC32" s="3">
        <v>1267</v>
      </c>
      <c r="BD32" s="3">
        <v>963</v>
      </c>
      <c r="BE32" s="3">
        <v>681</v>
      </c>
      <c r="BF32" s="3">
        <v>425</v>
      </c>
      <c r="BG32" s="3">
        <v>360</v>
      </c>
      <c r="BH32" s="3">
        <v>245</v>
      </c>
      <c r="BI32" s="3">
        <v>208</v>
      </c>
    </row>
    <row r="33" spans="1:61" x14ac:dyDescent="0.25">
      <c r="A33" s="12" t="s">
        <v>3</v>
      </c>
      <c r="B33" s="12" t="s">
        <v>291</v>
      </c>
      <c r="C33" s="2" t="s">
        <v>96</v>
      </c>
      <c r="D33" s="2" t="s">
        <v>290</v>
      </c>
      <c r="E33" s="2" t="s">
        <v>101</v>
      </c>
      <c r="F33" s="2" t="s">
        <v>103</v>
      </c>
      <c r="G33" s="2">
        <v>2020</v>
      </c>
      <c r="H33" s="3">
        <v>131701</v>
      </c>
      <c r="I33" s="3">
        <v>17941</v>
      </c>
      <c r="J33" s="3">
        <v>16040</v>
      </c>
      <c r="K33" s="3">
        <v>17003</v>
      </c>
      <c r="L33" s="3">
        <v>18060</v>
      </c>
      <c r="M33" s="3">
        <v>14385</v>
      </c>
      <c r="N33" s="3">
        <v>10662</v>
      </c>
      <c r="O33" s="3">
        <v>8821</v>
      </c>
      <c r="P33" s="3">
        <v>7500</v>
      </c>
      <c r="Q33" s="3">
        <v>6331</v>
      </c>
      <c r="R33" s="3">
        <v>4652</v>
      </c>
      <c r="S33" s="3">
        <v>3640</v>
      </c>
      <c r="T33" s="3">
        <v>2650</v>
      </c>
      <c r="U33" s="3">
        <v>1694</v>
      </c>
      <c r="V33" s="3">
        <v>914</v>
      </c>
      <c r="W33" s="3">
        <v>678</v>
      </c>
      <c r="X33" s="3">
        <v>403</v>
      </c>
      <c r="Y33" s="3">
        <v>327</v>
      </c>
      <c r="Z33" s="3">
        <v>64769</v>
      </c>
      <c r="AA33" s="3">
        <v>9024</v>
      </c>
      <c r="AB33" s="3">
        <v>7832</v>
      </c>
      <c r="AC33" s="3">
        <v>8210</v>
      </c>
      <c r="AD33" s="3">
        <v>8759</v>
      </c>
      <c r="AE33" s="3">
        <v>7361</v>
      </c>
      <c r="AF33" s="3">
        <v>5057</v>
      </c>
      <c r="AG33" s="3">
        <v>4237</v>
      </c>
      <c r="AH33" s="3">
        <v>3769</v>
      </c>
      <c r="AI33" s="3">
        <v>3155</v>
      </c>
      <c r="AJ33" s="3">
        <v>2318</v>
      </c>
      <c r="AK33" s="3">
        <v>1846</v>
      </c>
      <c r="AL33" s="3">
        <v>1366</v>
      </c>
      <c r="AM33" s="3">
        <v>860</v>
      </c>
      <c r="AN33" s="3">
        <v>451</v>
      </c>
      <c r="AO33" s="3">
        <v>286</v>
      </c>
      <c r="AP33" s="3">
        <v>137</v>
      </c>
      <c r="AQ33" s="3">
        <v>101</v>
      </c>
      <c r="AR33" s="3">
        <v>66932</v>
      </c>
      <c r="AS33" s="3">
        <v>8917</v>
      </c>
      <c r="AT33" s="3">
        <v>8208</v>
      </c>
      <c r="AU33" s="3">
        <v>8793</v>
      </c>
      <c r="AV33" s="3">
        <v>9301</v>
      </c>
      <c r="AW33" s="3">
        <v>7024</v>
      </c>
      <c r="AX33" s="3">
        <v>5605</v>
      </c>
      <c r="AY33" s="3">
        <v>4584</v>
      </c>
      <c r="AZ33" s="3">
        <v>3731</v>
      </c>
      <c r="BA33" s="3">
        <v>3176</v>
      </c>
      <c r="BB33" s="3">
        <v>2334</v>
      </c>
      <c r="BC33" s="3">
        <v>1794</v>
      </c>
      <c r="BD33" s="3">
        <v>1284</v>
      </c>
      <c r="BE33" s="3">
        <v>834</v>
      </c>
      <c r="BF33" s="3">
        <v>463</v>
      </c>
      <c r="BG33" s="3">
        <v>392</v>
      </c>
      <c r="BH33" s="3">
        <v>266</v>
      </c>
      <c r="BI33" s="3">
        <v>226</v>
      </c>
    </row>
    <row r="34" spans="1:61" x14ac:dyDescent="0.25">
      <c r="A34" s="12" t="s">
        <v>3</v>
      </c>
      <c r="B34" s="12" t="s">
        <v>291</v>
      </c>
      <c r="C34" s="2" t="s">
        <v>174</v>
      </c>
      <c r="D34" s="2" t="s">
        <v>387</v>
      </c>
      <c r="E34" s="2" t="s">
        <v>177</v>
      </c>
      <c r="F34" s="2" t="s">
        <v>177</v>
      </c>
      <c r="G34" s="2">
        <v>2020</v>
      </c>
      <c r="H34" s="3">
        <v>150656</v>
      </c>
      <c r="I34" s="3">
        <v>23405</v>
      </c>
      <c r="J34" s="3">
        <v>20755</v>
      </c>
      <c r="K34" s="3">
        <v>19968</v>
      </c>
      <c r="L34" s="3">
        <v>18151</v>
      </c>
      <c r="M34" s="3">
        <v>14546</v>
      </c>
      <c r="N34" s="3">
        <v>11272</v>
      </c>
      <c r="O34" s="3">
        <v>9488</v>
      </c>
      <c r="P34" s="3">
        <v>8411</v>
      </c>
      <c r="Q34" s="3">
        <v>6955</v>
      </c>
      <c r="R34" s="3">
        <v>5346</v>
      </c>
      <c r="S34" s="3">
        <v>4103</v>
      </c>
      <c r="T34" s="3">
        <v>3059</v>
      </c>
      <c r="U34" s="3">
        <v>2029</v>
      </c>
      <c r="V34" s="3">
        <v>1241</v>
      </c>
      <c r="W34" s="3">
        <v>898</v>
      </c>
      <c r="X34" s="3">
        <v>578</v>
      </c>
      <c r="Y34" s="3">
        <v>451</v>
      </c>
      <c r="Z34" s="3">
        <v>76153</v>
      </c>
      <c r="AA34" s="3">
        <v>11777</v>
      </c>
      <c r="AB34" s="3">
        <v>10459</v>
      </c>
      <c r="AC34" s="3">
        <v>10012</v>
      </c>
      <c r="AD34" s="3">
        <v>9189</v>
      </c>
      <c r="AE34" s="3">
        <v>7488</v>
      </c>
      <c r="AF34" s="3">
        <v>5675</v>
      </c>
      <c r="AG34" s="3">
        <v>4813</v>
      </c>
      <c r="AH34" s="3">
        <v>4188</v>
      </c>
      <c r="AI34" s="3">
        <v>3560</v>
      </c>
      <c r="AJ34" s="3">
        <v>2693</v>
      </c>
      <c r="AK34" s="3">
        <v>2209</v>
      </c>
      <c r="AL34" s="3">
        <v>1607</v>
      </c>
      <c r="AM34" s="3">
        <v>1074</v>
      </c>
      <c r="AN34" s="3">
        <v>648</v>
      </c>
      <c r="AO34" s="3">
        <v>400</v>
      </c>
      <c r="AP34" s="3">
        <v>222</v>
      </c>
      <c r="AQ34" s="3">
        <v>139</v>
      </c>
      <c r="AR34" s="3">
        <v>74503</v>
      </c>
      <c r="AS34" s="3">
        <v>11628</v>
      </c>
      <c r="AT34" s="3">
        <v>10296</v>
      </c>
      <c r="AU34" s="3">
        <v>9956</v>
      </c>
      <c r="AV34" s="3">
        <v>8962</v>
      </c>
      <c r="AW34" s="3">
        <v>7058</v>
      </c>
      <c r="AX34" s="3">
        <v>5597</v>
      </c>
      <c r="AY34" s="3">
        <v>4675</v>
      </c>
      <c r="AZ34" s="3">
        <v>4223</v>
      </c>
      <c r="BA34" s="3">
        <v>3395</v>
      </c>
      <c r="BB34" s="3">
        <v>2653</v>
      </c>
      <c r="BC34" s="3">
        <v>1894</v>
      </c>
      <c r="BD34" s="3">
        <v>1452</v>
      </c>
      <c r="BE34" s="3">
        <v>955</v>
      </c>
      <c r="BF34" s="3">
        <v>593</v>
      </c>
      <c r="BG34" s="3">
        <v>498</v>
      </c>
      <c r="BH34" s="3">
        <v>356</v>
      </c>
      <c r="BI34" s="3">
        <v>312</v>
      </c>
    </row>
    <row r="35" spans="1:61" x14ac:dyDescent="0.25">
      <c r="A35" s="12" t="s">
        <v>3</v>
      </c>
      <c r="B35" s="12" t="s">
        <v>291</v>
      </c>
      <c r="C35" s="2" t="s">
        <v>174</v>
      </c>
      <c r="D35" s="2" t="s">
        <v>387</v>
      </c>
      <c r="E35" s="2" t="s">
        <v>177</v>
      </c>
      <c r="F35" s="2" t="s">
        <v>178</v>
      </c>
      <c r="G35" s="2">
        <v>2020</v>
      </c>
      <c r="H35" s="3">
        <v>194339</v>
      </c>
      <c r="I35" s="3">
        <v>32594</v>
      </c>
      <c r="J35" s="3">
        <v>27546</v>
      </c>
      <c r="K35" s="3">
        <v>24372</v>
      </c>
      <c r="L35" s="3">
        <v>21005</v>
      </c>
      <c r="M35" s="3">
        <v>19279</v>
      </c>
      <c r="N35" s="3">
        <v>16188</v>
      </c>
      <c r="O35" s="3">
        <v>13623</v>
      </c>
      <c r="P35" s="3">
        <v>11183</v>
      </c>
      <c r="Q35" s="3">
        <v>8742</v>
      </c>
      <c r="R35" s="3">
        <v>6670</v>
      </c>
      <c r="S35" s="3">
        <v>4525</v>
      </c>
      <c r="T35" s="3">
        <v>3102</v>
      </c>
      <c r="U35" s="3">
        <v>2226</v>
      </c>
      <c r="V35" s="3">
        <v>1292</v>
      </c>
      <c r="W35" s="3">
        <v>934</v>
      </c>
      <c r="X35" s="3">
        <v>597</v>
      </c>
      <c r="Y35" s="3">
        <v>461</v>
      </c>
      <c r="Z35" s="3">
        <v>99230</v>
      </c>
      <c r="AA35" s="3">
        <v>16395</v>
      </c>
      <c r="AB35" s="3">
        <v>13600</v>
      </c>
      <c r="AC35" s="3">
        <v>11888</v>
      </c>
      <c r="AD35" s="3">
        <v>10356</v>
      </c>
      <c r="AE35" s="3">
        <v>9714</v>
      </c>
      <c r="AF35" s="3">
        <v>8661</v>
      </c>
      <c r="AG35" s="3">
        <v>7178</v>
      </c>
      <c r="AH35" s="3">
        <v>6007</v>
      </c>
      <c r="AI35" s="3">
        <v>4882</v>
      </c>
      <c r="AJ35" s="3">
        <v>3680</v>
      </c>
      <c r="AK35" s="3">
        <v>2571</v>
      </c>
      <c r="AL35" s="3">
        <v>1607</v>
      </c>
      <c r="AM35" s="3">
        <v>1145</v>
      </c>
      <c r="AN35" s="3">
        <v>707</v>
      </c>
      <c r="AO35" s="3">
        <v>441</v>
      </c>
      <c r="AP35" s="3">
        <v>244</v>
      </c>
      <c r="AQ35" s="3">
        <v>154</v>
      </c>
      <c r="AR35" s="3">
        <v>95109</v>
      </c>
      <c r="AS35" s="3">
        <v>16199</v>
      </c>
      <c r="AT35" s="3">
        <v>13946</v>
      </c>
      <c r="AU35" s="3">
        <v>12484</v>
      </c>
      <c r="AV35" s="3">
        <v>10649</v>
      </c>
      <c r="AW35" s="3">
        <v>9565</v>
      </c>
      <c r="AX35" s="3">
        <v>7527</v>
      </c>
      <c r="AY35" s="3">
        <v>6445</v>
      </c>
      <c r="AZ35" s="3">
        <v>5176</v>
      </c>
      <c r="BA35" s="3">
        <v>3860</v>
      </c>
      <c r="BB35" s="3">
        <v>2990</v>
      </c>
      <c r="BC35" s="3">
        <v>1954</v>
      </c>
      <c r="BD35" s="3">
        <v>1495</v>
      </c>
      <c r="BE35" s="3">
        <v>1081</v>
      </c>
      <c r="BF35" s="3">
        <v>585</v>
      </c>
      <c r="BG35" s="3">
        <v>493</v>
      </c>
      <c r="BH35" s="3">
        <v>353</v>
      </c>
      <c r="BI35" s="3">
        <v>307</v>
      </c>
    </row>
    <row r="36" spans="1:61" x14ac:dyDescent="0.25">
      <c r="A36" s="12" t="s">
        <v>3</v>
      </c>
      <c r="B36" s="12" t="s">
        <v>291</v>
      </c>
      <c r="C36" s="2" t="s">
        <v>253</v>
      </c>
      <c r="D36" s="2" t="s">
        <v>498</v>
      </c>
      <c r="E36" s="2" t="s">
        <v>254</v>
      </c>
      <c r="F36" s="2" t="s">
        <v>254</v>
      </c>
      <c r="G36" s="2">
        <v>2020</v>
      </c>
      <c r="H36" s="3">
        <v>57486</v>
      </c>
      <c r="I36" s="3">
        <v>10740</v>
      </c>
      <c r="J36" s="3">
        <v>8796</v>
      </c>
      <c r="K36" s="3">
        <v>7265</v>
      </c>
      <c r="L36" s="3">
        <v>5977</v>
      </c>
      <c r="M36" s="3">
        <v>4987</v>
      </c>
      <c r="N36" s="3">
        <v>3813</v>
      </c>
      <c r="O36" s="3">
        <v>3090</v>
      </c>
      <c r="P36" s="3">
        <v>2565</v>
      </c>
      <c r="Q36" s="3">
        <v>2346</v>
      </c>
      <c r="R36" s="3">
        <v>1846</v>
      </c>
      <c r="S36" s="3">
        <v>1642</v>
      </c>
      <c r="T36" s="3">
        <v>1191</v>
      </c>
      <c r="U36" s="3">
        <v>1046</v>
      </c>
      <c r="V36" s="3">
        <v>700</v>
      </c>
      <c r="W36" s="3">
        <v>634</v>
      </c>
      <c r="X36" s="3">
        <v>406</v>
      </c>
      <c r="Y36" s="3">
        <v>442</v>
      </c>
      <c r="Z36" s="3">
        <v>27254</v>
      </c>
      <c r="AA36" s="3">
        <v>5467</v>
      </c>
      <c r="AB36" s="3">
        <v>4447</v>
      </c>
      <c r="AC36" s="3">
        <v>3625</v>
      </c>
      <c r="AD36" s="3">
        <v>3071</v>
      </c>
      <c r="AE36" s="3">
        <v>2406</v>
      </c>
      <c r="AF36" s="3">
        <v>1728</v>
      </c>
      <c r="AG36" s="3">
        <v>1346</v>
      </c>
      <c r="AH36" s="3">
        <v>1048</v>
      </c>
      <c r="AI36" s="3">
        <v>971</v>
      </c>
      <c r="AJ36" s="3">
        <v>801</v>
      </c>
      <c r="AK36" s="3">
        <v>657</v>
      </c>
      <c r="AL36" s="3">
        <v>457</v>
      </c>
      <c r="AM36" s="3">
        <v>371</v>
      </c>
      <c r="AN36" s="3">
        <v>292</v>
      </c>
      <c r="AO36" s="3">
        <v>253</v>
      </c>
      <c r="AP36" s="3">
        <v>163</v>
      </c>
      <c r="AQ36" s="3">
        <v>151</v>
      </c>
      <c r="AR36" s="3">
        <v>30232</v>
      </c>
      <c r="AS36" s="3">
        <v>5273</v>
      </c>
      <c r="AT36" s="3">
        <v>4349</v>
      </c>
      <c r="AU36" s="3">
        <v>3640</v>
      </c>
      <c r="AV36" s="3">
        <v>2906</v>
      </c>
      <c r="AW36" s="3">
        <v>2581</v>
      </c>
      <c r="AX36" s="3">
        <v>2085</v>
      </c>
      <c r="AY36" s="3">
        <v>1744</v>
      </c>
      <c r="AZ36" s="3">
        <v>1517</v>
      </c>
      <c r="BA36" s="3">
        <v>1375</v>
      </c>
      <c r="BB36" s="3">
        <v>1045</v>
      </c>
      <c r="BC36" s="3">
        <v>985</v>
      </c>
      <c r="BD36" s="3">
        <v>734</v>
      </c>
      <c r="BE36" s="3">
        <v>675</v>
      </c>
      <c r="BF36" s="3">
        <v>408</v>
      </c>
      <c r="BG36" s="3">
        <v>381</v>
      </c>
      <c r="BH36" s="3">
        <v>243</v>
      </c>
      <c r="BI36" s="3">
        <v>291</v>
      </c>
    </row>
    <row r="37" spans="1:61" x14ac:dyDescent="0.25">
      <c r="A37" s="12" t="s">
        <v>3</v>
      </c>
      <c r="B37" s="12" t="s">
        <v>291</v>
      </c>
      <c r="C37" s="2" t="s">
        <v>253</v>
      </c>
      <c r="D37" s="2" t="s">
        <v>498</v>
      </c>
      <c r="E37" s="2" t="s">
        <v>254</v>
      </c>
      <c r="F37" s="2" t="s">
        <v>255</v>
      </c>
      <c r="G37" s="2">
        <v>2020</v>
      </c>
      <c r="H37" s="3">
        <v>27903</v>
      </c>
      <c r="I37" s="3">
        <v>5499</v>
      </c>
      <c r="J37" s="3">
        <v>4330</v>
      </c>
      <c r="K37" s="3">
        <v>3376</v>
      </c>
      <c r="L37" s="3">
        <v>2607</v>
      </c>
      <c r="M37" s="3">
        <v>2397</v>
      </c>
      <c r="N37" s="3">
        <v>1860</v>
      </c>
      <c r="O37" s="3">
        <v>1606</v>
      </c>
      <c r="P37" s="3">
        <v>1298</v>
      </c>
      <c r="Q37" s="3">
        <v>1162</v>
      </c>
      <c r="R37" s="3">
        <v>871</v>
      </c>
      <c r="S37" s="3">
        <v>780</v>
      </c>
      <c r="T37" s="3">
        <v>525</v>
      </c>
      <c r="U37" s="3">
        <v>489</v>
      </c>
      <c r="V37" s="3">
        <v>352</v>
      </c>
      <c r="W37" s="3">
        <v>321</v>
      </c>
      <c r="X37" s="3">
        <v>204</v>
      </c>
      <c r="Y37" s="3">
        <v>226</v>
      </c>
      <c r="Z37" s="3">
        <v>13417</v>
      </c>
      <c r="AA37" s="3">
        <v>2778</v>
      </c>
      <c r="AB37" s="3">
        <v>2154</v>
      </c>
      <c r="AC37" s="3">
        <v>1768</v>
      </c>
      <c r="AD37" s="3">
        <v>1342</v>
      </c>
      <c r="AE37" s="3">
        <v>1108</v>
      </c>
      <c r="AF37" s="3">
        <v>911</v>
      </c>
      <c r="AG37" s="3">
        <v>746</v>
      </c>
      <c r="AH37" s="3">
        <v>596</v>
      </c>
      <c r="AI37" s="3">
        <v>502</v>
      </c>
      <c r="AJ37" s="3">
        <v>359</v>
      </c>
      <c r="AK37" s="3">
        <v>357</v>
      </c>
      <c r="AL37" s="3">
        <v>198</v>
      </c>
      <c r="AM37" s="3">
        <v>180</v>
      </c>
      <c r="AN37" s="3">
        <v>142</v>
      </c>
      <c r="AO37" s="3">
        <v>123</v>
      </c>
      <c r="AP37" s="3">
        <v>79</v>
      </c>
      <c r="AQ37" s="3">
        <v>74</v>
      </c>
      <c r="AR37" s="3">
        <v>14486</v>
      </c>
      <c r="AS37" s="3">
        <v>2721</v>
      </c>
      <c r="AT37" s="3">
        <v>2176</v>
      </c>
      <c r="AU37" s="3">
        <v>1608</v>
      </c>
      <c r="AV37" s="3">
        <v>1265</v>
      </c>
      <c r="AW37" s="3">
        <v>1289</v>
      </c>
      <c r="AX37" s="3">
        <v>949</v>
      </c>
      <c r="AY37" s="3">
        <v>860</v>
      </c>
      <c r="AZ37" s="3">
        <v>702</v>
      </c>
      <c r="BA37" s="3">
        <v>660</v>
      </c>
      <c r="BB37" s="3">
        <v>512</v>
      </c>
      <c r="BC37" s="3">
        <v>423</v>
      </c>
      <c r="BD37" s="3">
        <v>327</v>
      </c>
      <c r="BE37" s="3">
        <v>309</v>
      </c>
      <c r="BF37" s="3">
        <v>210</v>
      </c>
      <c r="BG37" s="3">
        <v>198</v>
      </c>
      <c r="BH37" s="3">
        <v>125</v>
      </c>
      <c r="BI37" s="3">
        <v>152</v>
      </c>
    </row>
    <row r="38" spans="1:61" x14ac:dyDescent="0.25">
      <c r="A38" s="12" t="s">
        <v>3</v>
      </c>
      <c r="B38" s="12" t="s">
        <v>291</v>
      </c>
      <c r="C38" s="2" t="s">
        <v>253</v>
      </c>
      <c r="D38" s="2" t="s">
        <v>498</v>
      </c>
      <c r="E38" s="2" t="s">
        <v>254</v>
      </c>
      <c r="F38" s="2" t="s">
        <v>256</v>
      </c>
      <c r="G38" s="2">
        <v>2020</v>
      </c>
      <c r="H38" s="3">
        <v>57213</v>
      </c>
      <c r="I38" s="3">
        <v>11175</v>
      </c>
      <c r="J38" s="3">
        <v>9197</v>
      </c>
      <c r="K38" s="3">
        <v>7167</v>
      </c>
      <c r="L38" s="3">
        <v>5858</v>
      </c>
      <c r="M38" s="3">
        <v>4711</v>
      </c>
      <c r="N38" s="3">
        <v>3702</v>
      </c>
      <c r="O38" s="3">
        <v>2884</v>
      </c>
      <c r="P38" s="3">
        <v>2435</v>
      </c>
      <c r="Q38" s="3">
        <v>2309</v>
      </c>
      <c r="R38" s="3">
        <v>1866</v>
      </c>
      <c r="S38" s="3">
        <v>1701</v>
      </c>
      <c r="T38" s="3">
        <v>1039</v>
      </c>
      <c r="U38" s="3">
        <v>1096</v>
      </c>
      <c r="V38" s="3">
        <v>664</v>
      </c>
      <c r="W38" s="3">
        <v>604</v>
      </c>
      <c r="X38" s="3">
        <v>384</v>
      </c>
      <c r="Y38" s="3">
        <v>421</v>
      </c>
      <c r="Z38" s="3">
        <v>26389</v>
      </c>
      <c r="AA38" s="3">
        <v>5587</v>
      </c>
      <c r="AB38" s="3">
        <v>4581</v>
      </c>
      <c r="AC38" s="3">
        <v>3668</v>
      </c>
      <c r="AD38" s="3">
        <v>2767</v>
      </c>
      <c r="AE38" s="3">
        <v>2111</v>
      </c>
      <c r="AF38" s="3">
        <v>1598</v>
      </c>
      <c r="AG38" s="3">
        <v>1157</v>
      </c>
      <c r="AH38" s="3">
        <v>982</v>
      </c>
      <c r="AI38" s="3">
        <v>871</v>
      </c>
      <c r="AJ38" s="3">
        <v>712</v>
      </c>
      <c r="AK38" s="3">
        <v>711</v>
      </c>
      <c r="AL38" s="3">
        <v>435</v>
      </c>
      <c r="AM38" s="3">
        <v>405</v>
      </c>
      <c r="AN38" s="3">
        <v>273</v>
      </c>
      <c r="AO38" s="3">
        <v>237</v>
      </c>
      <c r="AP38" s="3">
        <v>153</v>
      </c>
      <c r="AQ38" s="3">
        <v>141</v>
      </c>
      <c r="AR38" s="3">
        <v>30824</v>
      </c>
      <c r="AS38" s="3">
        <v>5588</v>
      </c>
      <c r="AT38" s="3">
        <v>4616</v>
      </c>
      <c r="AU38" s="3">
        <v>3499</v>
      </c>
      <c r="AV38" s="3">
        <v>3091</v>
      </c>
      <c r="AW38" s="3">
        <v>2600</v>
      </c>
      <c r="AX38" s="3">
        <v>2104</v>
      </c>
      <c r="AY38" s="3">
        <v>1727</v>
      </c>
      <c r="AZ38" s="3">
        <v>1453</v>
      </c>
      <c r="BA38" s="3">
        <v>1438</v>
      </c>
      <c r="BB38" s="3">
        <v>1154</v>
      </c>
      <c r="BC38" s="3">
        <v>990</v>
      </c>
      <c r="BD38" s="3">
        <v>604</v>
      </c>
      <c r="BE38" s="3">
        <v>691</v>
      </c>
      <c r="BF38" s="3">
        <v>391</v>
      </c>
      <c r="BG38" s="3">
        <v>367</v>
      </c>
      <c r="BH38" s="3">
        <v>231</v>
      </c>
      <c r="BI38" s="3">
        <v>280</v>
      </c>
    </row>
    <row r="39" spans="1:61" x14ac:dyDescent="0.25">
      <c r="A39" s="12" t="s">
        <v>3</v>
      </c>
      <c r="B39" s="12" t="s">
        <v>291</v>
      </c>
      <c r="C39" s="2" t="s">
        <v>231</v>
      </c>
      <c r="D39" s="2" t="s">
        <v>470</v>
      </c>
      <c r="E39" s="2" t="s">
        <v>237</v>
      </c>
      <c r="F39" s="2" t="s">
        <v>238</v>
      </c>
      <c r="G39" s="2">
        <v>2020</v>
      </c>
      <c r="H39" s="3">
        <v>140438</v>
      </c>
      <c r="I39" s="3">
        <v>32739</v>
      </c>
      <c r="J39" s="3">
        <v>25070</v>
      </c>
      <c r="K39" s="3">
        <v>19081</v>
      </c>
      <c r="L39" s="3">
        <v>14695</v>
      </c>
      <c r="M39" s="3">
        <v>11798</v>
      </c>
      <c r="N39" s="3">
        <v>8440</v>
      </c>
      <c r="O39" s="3">
        <v>7435</v>
      </c>
      <c r="P39" s="3">
        <v>5646</v>
      </c>
      <c r="Q39" s="3">
        <v>4846</v>
      </c>
      <c r="R39" s="3">
        <v>3345</v>
      </c>
      <c r="S39" s="3">
        <v>2295</v>
      </c>
      <c r="T39" s="3">
        <v>1512</v>
      </c>
      <c r="U39" s="3">
        <v>1180</v>
      </c>
      <c r="V39" s="3">
        <v>885</v>
      </c>
      <c r="W39" s="3">
        <v>731</v>
      </c>
      <c r="X39" s="3">
        <v>419</v>
      </c>
      <c r="Y39" s="3">
        <v>321</v>
      </c>
      <c r="Z39" s="3">
        <v>69236</v>
      </c>
      <c r="AA39" s="3">
        <v>16332</v>
      </c>
      <c r="AB39" s="3">
        <v>12838</v>
      </c>
      <c r="AC39" s="3">
        <v>9620</v>
      </c>
      <c r="AD39" s="3">
        <v>7551</v>
      </c>
      <c r="AE39" s="3">
        <v>6091</v>
      </c>
      <c r="AF39" s="3">
        <v>4072</v>
      </c>
      <c r="AG39" s="3">
        <v>3419</v>
      </c>
      <c r="AH39" s="3">
        <v>2582</v>
      </c>
      <c r="AI39" s="3">
        <v>2011</v>
      </c>
      <c r="AJ39" s="3">
        <v>1574</v>
      </c>
      <c r="AK39" s="3">
        <v>1063</v>
      </c>
      <c r="AL39" s="3">
        <v>670</v>
      </c>
      <c r="AM39" s="3">
        <v>449</v>
      </c>
      <c r="AN39" s="3">
        <v>401</v>
      </c>
      <c r="AO39" s="3">
        <v>287</v>
      </c>
      <c r="AP39" s="3">
        <v>165</v>
      </c>
      <c r="AQ39" s="3">
        <v>111</v>
      </c>
      <c r="AR39" s="3">
        <v>71202</v>
      </c>
      <c r="AS39" s="3">
        <v>16407</v>
      </c>
      <c r="AT39" s="3">
        <v>12232</v>
      </c>
      <c r="AU39" s="3">
        <v>9461</v>
      </c>
      <c r="AV39" s="3">
        <v>7144</v>
      </c>
      <c r="AW39" s="3">
        <v>5707</v>
      </c>
      <c r="AX39" s="3">
        <v>4368</v>
      </c>
      <c r="AY39" s="3">
        <v>4016</v>
      </c>
      <c r="AZ39" s="3">
        <v>3064</v>
      </c>
      <c r="BA39" s="3">
        <v>2835</v>
      </c>
      <c r="BB39" s="3">
        <v>1771</v>
      </c>
      <c r="BC39" s="3">
        <v>1232</v>
      </c>
      <c r="BD39" s="3">
        <v>842</v>
      </c>
      <c r="BE39" s="3">
        <v>731</v>
      </c>
      <c r="BF39" s="3">
        <v>484</v>
      </c>
      <c r="BG39" s="3">
        <v>444</v>
      </c>
      <c r="BH39" s="3">
        <v>254</v>
      </c>
      <c r="BI39" s="3">
        <v>210</v>
      </c>
    </row>
    <row r="40" spans="1:61" x14ac:dyDescent="0.25">
      <c r="A40" s="12" t="s">
        <v>3</v>
      </c>
      <c r="B40" s="12" t="s">
        <v>291</v>
      </c>
      <c r="C40" s="2" t="s">
        <v>231</v>
      </c>
      <c r="D40" s="2" t="s">
        <v>470</v>
      </c>
      <c r="E40" s="2" t="s">
        <v>237</v>
      </c>
      <c r="F40" s="2" t="s">
        <v>239</v>
      </c>
      <c r="G40" s="2">
        <v>2020</v>
      </c>
      <c r="H40" s="3">
        <v>130139</v>
      </c>
      <c r="I40" s="3">
        <v>25703</v>
      </c>
      <c r="J40" s="3">
        <v>21509</v>
      </c>
      <c r="K40" s="3">
        <v>17459</v>
      </c>
      <c r="L40" s="3">
        <v>15050</v>
      </c>
      <c r="M40" s="3">
        <v>11841</v>
      </c>
      <c r="N40" s="3">
        <v>8591</v>
      </c>
      <c r="O40" s="3">
        <v>7281</v>
      </c>
      <c r="P40" s="3">
        <v>5773</v>
      </c>
      <c r="Q40" s="3">
        <v>4894</v>
      </c>
      <c r="R40" s="3">
        <v>3671</v>
      </c>
      <c r="S40" s="3">
        <v>2578</v>
      </c>
      <c r="T40" s="3">
        <v>1691</v>
      </c>
      <c r="U40" s="3">
        <v>1390</v>
      </c>
      <c r="V40" s="3">
        <v>1015</v>
      </c>
      <c r="W40" s="3">
        <v>841</v>
      </c>
      <c r="X40" s="3">
        <v>482</v>
      </c>
      <c r="Y40" s="3">
        <v>370</v>
      </c>
      <c r="Z40" s="3">
        <v>64315</v>
      </c>
      <c r="AA40" s="3">
        <v>12946</v>
      </c>
      <c r="AB40" s="3">
        <v>10681</v>
      </c>
      <c r="AC40" s="3">
        <v>8813</v>
      </c>
      <c r="AD40" s="3">
        <v>7596</v>
      </c>
      <c r="AE40" s="3">
        <v>6102</v>
      </c>
      <c r="AF40" s="3">
        <v>4271</v>
      </c>
      <c r="AG40" s="3">
        <v>3493</v>
      </c>
      <c r="AH40" s="3">
        <v>2715</v>
      </c>
      <c r="AI40" s="3">
        <v>2258</v>
      </c>
      <c r="AJ40" s="3">
        <v>1768</v>
      </c>
      <c r="AK40" s="3">
        <v>1267</v>
      </c>
      <c r="AL40" s="3">
        <v>784</v>
      </c>
      <c r="AM40" s="3">
        <v>544</v>
      </c>
      <c r="AN40" s="3">
        <v>447</v>
      </c>
      <c r="AO40" s="3">
        <v>323</v>
      </c>
      <c r="AP40" s="3">
        <v>183</v>
      </c>
      <c r="AQ40" s="3">
        <v>124</v>
      </c>
      <c r="AR40" s="3">
        <v>65824</v>
      </c>
      <c r="AS40" s="3">
        <v>12757</v>
      </c>
      <c r="AT40" s="3">
        <v>10828</v>
      </c>
      <c r="AU40" s="3">
        <v>8646</v>
      </c>
      <c r="AV40" s="3">
        <v>7454</v>
      </c>
      <c r="AW40" s="3">
        <v>5739</v>
      </c>
      <c r="AX40" s="3">
        <v>4320</v>
      </c>
      <c r="AY40" s="3">
        <v>3788</v>
      </c>
      <c r="AZ40" s="3">
        <v>3058</v>
      </c>
      <c r="BA40" s="3">
        <v>2636</v>
      </c>
      <c r="BB40" s="3">
        <v>1903</v>
      </c>
      <c r="BC40" s="3">
        <v>1311</v>
      </c>
      <c r="BD40" s="3">
        <v>907</v>
      </c>
      <c r="BE40" s="3">
        <v>846</v>
      </c>
      <c r="BF40" s="3">
        <v>568</v>
      </c>
      <c r="BG40" s="3">
        <v>518</v>
      </c>
      <c r="BH40" s="3">
        <v>299</v>
      </c>
      <c r="BI40" s="3">
        <v>246</v>
      </c>
    </row>
    <row r="41" spans="1:61" x14ac:dyDescent="0.25">
      <c r="A41" s="12" t="s">
        <v>3</v>
      </c>
      <c r="B41" s="12" t="s">
        <v>291</v>
      </c>
      <c r="C41" s="2" t="s">
        <v>231</v>
      </c>
      <c r="D41" s="2" t="s">
        <v>470</v>
      </c>
      <c r="E41" s="2" t="s">
        <v>237</v>
      </c>
      <c r="F41" s="2" t="s">
        <v>240</v>
      </c>
      <c r="G41" s="2">
        <v>2020</v>
      </c>
      <c r="H41" s="3">
        <v>125135</v>
      </c>
      <c r="I41" s="3">
        <v>25643</v>
      </c>
      <c r="J41" s="3">
        <v>21184</v>
      </c>
      <c r="K41" s="3">
        <v>16559</v>
      </c>
      <c r="L41" s="3">
        <v>13446</v>
      </c>
      <c r="M41" s="3">
        <v>10713</v>
      </c>
      <c r="N41" s="3">
        <v>8624</v>
      </c>
      <c r="O41" s="3">
        <v>7186</v>
      </c>
      <c r="P41" s="3">
        <v>5378</v>
      </c>
      <c r="Q41" s="3">
        <v>4630</v>
      </c>
      <c r="R41" s="3">
        <v>3547</v>
      </c>
      <c r="S41" s="3">
        <v>2779</v>
      </c>
      <c r="T41" s="3">
        <v>1459</v>
      </c>
      <c r="U41" s="3">
        <v>1461</v>
      </c>
      <c r="V41" s="3">
        <v>942</v>
      </c>
      <c r="W41" s="3">
        <v>783</v>
      </c>
      <c r="X41" s="3">
        <v>452</v>
      </c>
      <c r="Y41" s="3">
        <v>349</v>
      </c>
      <c r="Z41" s="3">
        <v>61399</v>
      </c>
      <c r="AA41" s="3">
        <v>12715</v>
      </c>
      <c r="AB41" s="3">
        <v>10650</v>
      </c>
      <c r="AC41" s="3">
        <v>8394</v>
      </c>
      <c r="AD41" s="3">
        <v>6931</v>
      </c>
      <c r="AE41" s="3">
        <v>5413</v>
      </c>
      <c r="AF41" s="3">
        <v>4187</v>
      </c>
      <c r="AG41" s="3">
        <v>3431</v>
      </c>
      <c r="AH41" s="3">
        <v>2551</v>
      </c>
      <c r="AI41" s="3">
        <v>2112</v>
      </c>
      <c r="AJ41" s="3">
        <v>1660</v>
      </c>
      <c r="AK41" s="3">
        <v>1288</v>
      </c>
      <c r="AL41" s="3">
        <v>616</v>
      </c>
      <c r="AM41" s="3">
        <v>538</v>
      </c>
      <c r="AN41" s="3">
        <v>379</v>
      </c>
      <c r="AO41" s="3">
        <v>273</v>
      </c>
      <c r="AP41" s="3">
        <v>157</v>
      </c>
      <c r="AQ41" s="3">
        <v>104</v>
      </c>
      <c r="AR41" s="3">
        <v>63736</v>
      </c>
      <c r="AS41" s="3">
        <v>12928</v>
      </c>
      <c r="AT41" s="3">
        <v>10534</v>
      </c>
      <c r="AU41" s="3">
        <v>8165</v>
      </c>
      <c r="AV41" s="3">
        <v>6515</v>
      </c>
      <c r="AW41" s="3">
        <v>5300</v>
      </c>
      <c r="AX41" s="3">
        <v>4437</v>
      </c>
      <c r="AY41" s="3">
        <v>3755</v>
      </c>
      <c r="AZ41" s="3">
        <v>2827</v>
      </c>
      <c r="BA41" s="3">
        <v>2518</v>
      </c>
      <c r="BB41" s="3">
        <v>1887</v>
      </c>
      <c r="BC41" s="3">
        <v>1491</v>
      </c>
      <c r="BD41" s="3">
        <v>843</v>
      </c>
      <c r="BE41" s="3">
        <v>923</v>
      </c>
      <c r="BF41" s="3">
        <v>563</v>
      </c>
      <c r="BG41" s="3">
        <v>510</v>
      </c>
      <c r="BH41" s="3">
        <v>295</v>
      </c>
      <c r="BI41" s="3">
        <v>245</v>
      </c>
    </row>
    <row r="42" spans="1:61" x14ac:dyDescent="0.25">
      <c r="A42" s="12" t="s">
        <v>3</v>
      </c>
      <c r="B42" s="12" t="s">
        <v>291</v>
      </c>
      <c r="C42" s="2" t="s">
        <v>114</v>
      </c>
      <c r="D42" s="2" t="s">
        <v>313</v>
      </c>
      <c r="E42" s="2" t="s">
        <v>118</v>
      </c>
      <c r="F42" s="2" t="s">
        <v>118</v>
      </c>
      <c r="G42" s="2">
        <v>2020</v>
      </c>
      <c r="H42" s="3">
        <v>129094</v>
      </c>
      <c r="I42" s="3">
        <v>19904</v>
      </c>
      <c r="J42" s="3">
        <v>17349</v>
      </c>
      <c r="K42" s="3">
        <v>16601</v>
      </c>
      <c r="L42" s="3">
        <v>15355</v>
      </c>
      <c r="M42" s="3">
        <v>12134</v>
      </c>
      <c r="N42" s="3">
        <v>10282</v>
      </c>
      <c r="O42" s="3">
        <v>8712</v>
      </c>
      <c r="P42" s="3">
        <v>6963</v>
      </c>
      <c r="Q42" s="3">
        <v>5991</v>
      </c>
      <c r="R42" s="3">
        <v>4690</v>
      </c>
      <c r="S42" s="3">
        <v>3608</v>
      </c>
      <c r="T42" s="3">
        <v>2910</v>
      </c>
      <c r="U42" s="3">
        <v>1913</v>
      </c>
      <c r="V42" s="3">
        <v>1156</v>
      </c>
      <c r="W42" s="3">
        <v>758</v>
      </c>
      <c r="X42" s="3">
        <v>422</v>
      </c>
      <c r="Y42" s="3">
        <v>346</v>
      </c>
      <c r="Z42" s="3">
        <v>65381</v>
      </c>
      <c r="AA42" s="3">
        <v>9993</v>
      </c>
      <c r="AB42" s="3">
        <v>8582</v>
      </c>
      <c r="AC42" s="3">
        <v>8215</v>
      </c>
      <c r="AD42" s="3">
        <v>7521</v>
      </c>
      <c r="AE42" s="3">
        <v>6243</v>
      </c>
      <c r="AF42" s="3">
        <v>5326</v>
      </c>
      <c r="AG42" s="3">
        <v>4585</v>
      </c>
      <c r="AH42" s="3">
        <v>3574</v>
      </c>
      <c r="AI42" s="3">
        <v>3055</v>
      </c>
      <c r="AJ42" s="3">
        <v>2478</v>
      </c>
      <c r="AK42" s="3">
        <v>1888</v>
      </c>
      <c r="AL42" s="3">
        <v>1542</v>
      </c>
      <c r="AM42" s="3">
        <v>1043</v>
      </c>
      <c r="AN42" s="3">
        <v>617</v>
      </c>
      <c r="AO42" s="3">
        <v>385</v>
      </c>
      <c r="AP42" s="3">
        <v>209</v>
      </c>
      <c r="AQ42" s="3">
        <v>125</v>
      </c>
      <c r="AR42" s="3">
        <v>63713</v>
      </c>
      <c r="AS42" s="3">
        <v>9911</v>
      </c>
      <c r="AT42" s="3">
        <v>8767</v>
      </c>
      <c r="AU42" s="3">
        <v>8386</v>
      </c>
      <c r="AV42" s="3">
        <v>7834</v>
      </c>
      <c r="AW42" s="3">
        <v>5891</v>
      </c>
      <c r="AX42" s="3">
        <v>4956</v>
      </c>
      <c r="AY42" s="3">
        <v>4127</v>
      </c>
      <c r="AZ42" s="3">
        <v>3389</v>
      </c>
      <c r="BA42" s="3">
        <v>2936</v>
      </c>
      <c r="BB42" s="3">
        <v>2212</v>
      </c>
      <c r="BC42" s="3">
        <v>1720</v>
      </c>
      <c r="BD42" s="3">
        <v>1368</v>
      </c>
      <c r="BE42" s="3">
        <v>870</v>
      </c>
      <c r="BF42" s="3">
        <v>539</v>
      </c>
      <c r="BG42" s="3">
        <v>373</v>
      </c>
      <c r="BH42" s="3">
        <v>213</v>
      </c>
      <c r="BI42" s="3">
        <v>221</v>
      </c>
    </row>
    <row r="43" spans="1:61" x14ac:dyDescent="0.25">
      <c r="A43" s="12" t="s">
        <v>3</v>
      </c>
      <c r="B43" s="12" t="s">
        <v>291</v>
      </c>
      <c r="C43" s="2" t="s">
        <v>253</v>
      </c>
      <c r="D43" s="2" t="s">
        <v>498</v>
      </c>
      <c r="E43" s="2" t="s">
        <v>257</v>
      </c>
      <c r="F43" s="2" t="s">
        <v>258</v>
      </c>
      <c r="G43" s="2">
        <v>2020</v>
      </c>
      <c r="H43" s="3">
        <v>96897</v>
      </c>
      <c r="I43" s="3">
        <v>17307</v>
      </c>
      <c r="J43" s="3">
        <v>14530</v>
      </c>
      <c r="K43" s="3">
        <v>12302</v>
      </c>
      <c r="L43" s="3">
        <v>10633</v>
      </c>
      <c r="M43" s="3">
        <v>8676</v>
      </c>
      <c r="N43" s="3">
        <v>7011</v>
      </c>
      <c r="O43" s="3">
        <v>5599</v>
      </c>
      <c r="P43" s="3">
        <v>4710</v>
      </c>
      <c r="Q43" s="3">
        <v>3943</v>
      </c>
      <c r="R43" s="3">
        <v>3034</v>
      </c>
      <c r="S43" s="3">
        <v>2539</v>
      </c>
      <c r="T43" s="3">
        <v>1951</v>
      </c>
      <c r="U43" s="3">
        <v>1606</v>
      </c>
      <c r="V43" s="3">
        <v>1124</v>
      </c>
      <c r="W43" s="3">
        <v>877</v>
      </c>
      <c r="X43" s="3">
        <v>562</v>
      </c>
      <c r="Y43" s="3">
        <v>493</v>
      </c>
      <c r="Z43" s="3">
        <v>48538</v>
      </c>
      <c r="AA43" s="3">
        <v>8862</v>
      </c>
      <c r="AB43" s="3">
        <v>7489</v>
      </c>
      <c r="AC43" s="3">
        <v>6304</v>
      </c>
      <c r="AD43" s="3">
        <v>5566</v>
      </c>
      <c r="AE43" s="3">
        <v>4436</v>
      </c>
      <c r="AF43" s="3">
        <v>3441</v>
      </c>
      <c r="AG43" s="3">
        <v>2716</v>
      </c>
      <c r="AH43" s="3">
        <v>2348</v>
      </c>
      <c r="AI43" s="3">
        <v>1851</v>
      </c>
      <c r="AJ43" s="3">
        <v>1422</v>
      </c>
      <c r="AK43" s="3">
        <v>1164</v>
      </c>
      <c r="AL43" s="3">
        <v>799</v>
      </c>
      <c r="AM43" s="3">
        <v>687</v>
      </c>
      <c r="AN43" s="3">
        <v>541</v>
      </c>
      <c r="AO43" s="3">
        <v>425</v>
      </c>
      <c r="AP43" s="3">
        <v>264</v>
      </c>
      <c r="AQ43" s="3">
        <v>223</v>
      </c>
      <c r="AR43" s="3">
        <v>48359</v>
      </c>
      <c r="AS43" s="3">
        <v>8445</v>
      </c>
      <c r="AT43" s="3">
        <v>7041</v>
      </c>
      <c r="AU43" s="3">
        <v>5998</v>
      </c>
      <c r="AV43" s="3">
        <v>5067</v>
      </c>
      <c r="AW43" s="3">
        <v>4240</v>
      </c>
      <c r="AX43" s="3">
        <v>3570</v>
      </c>
      <c r="AY43" s="3">
        <v>2883</v>
      </c>
      <c r="AZ43" s="3">
        <v>2362</v>
      </c>
      <c r="BA43" s="3">
        <v>2092</v>
      </c>
      <c r="BB43" s="3">
        <v>1612</v>
      </c>
      <c r="BC43" s="3">
        <v>1375</v>
      </c>
      <c r="BD43" s="3">
        <v>1152</v>
      </c>
      <c r="BE43" s="3">
        <v>919</v>
      </c>
      <c r="BF43" s="3">
        <v>583</v>
      </c>
      <c r="BG43" s="3">
        <v>452</v>
      </c>
      <c r="BH43" s="3">
        <v>298</v>
      </c>
      <c r="BI43" s="3">
        <v>270</v>
      </c>
    </row>
    <row r="44" spans="1:61" x14ac:dyDescent="0.25">
      <c r="A44" s="12" t="s">
        <v>3</v>
      </c>
      <c r="B44" s="12" t="s">
        <v>291</v>
      </c>
      <c r="C44" s="2" t="s">
        <v>253</v>
      </c>
      <c r="D44" s="2" t="s">
        <v>498</v>
      </c>
      <c r="E44" s="2" t="s">
        <v>257</v>
      </c>
      <c r="F44" s="2" t="s">
        <v>259</v>
      </c>
      <c r="G44" s="2">
        <v>2020</v>
      </c>
      <c r="H44" s="3">
        <v>60716</v>
      </c>
      <c r="I44" s="3">
        <v>11735</v>
      </c>
      <c r="J44" s="3">
        <v>9787</v>
      </c>
      <c r="K44" s="3">
        <v>7934</v>
      </c>
      <c r="L44" s="3">
        <v>5955</v>
      </c>
      <c r="M44" s="3">
        <v>4648</v>
      </c>
      <c r="N44" s="3">
        <v>4177</v>
      </c>
      <c r="O44" s="3">
        <v>3414</v>
      </c>
      <c r="P44" s="3">
        <v>2867</v>
      </c>
      <c r="Q44" s="3">
        <v>2582</v>
      </c>
      <c r="R44" s="3">
        <v>1824</v>
      </c>
      <c r="S44" s="3">
        <v>1531</v>
      </c>
      <c r="T44" s="3">
        <v>1202</v>
      </c>
      <c r="U44" s="3">
        <v>978</v>
      </c>
      <c r="V44" s="3">
        <v>763</v>
      </c>
      <c r="W44" s="3">
        <v>596</v>
      </c>
      <c r="X44" s="3">
        <v>385</v>
      </c>
      <c r="Y44" s="3">
        <v>338</v>
      </c>
      <c r="Z44" s="3">
        <v>29080</v>
      </c>
      <c r="AA44" s="3">
        <v>5936</v>
      </c>
      <c r="AB44" s="3">
        <v>4907</v>
      </c>
      <c r="AC44" s="3">
        <v>3962</v>
      </c>
      <c r="AD44" s="3">
        <v>2890</v>
      </c>
      <c r="AE44" s="3">
        <v>2183</v>
      </c>
      <c r="AF44" s="3">
        <v>1905</v>
      </c>
      <c r="AG44" s="3">
        <v>1554</v>
      </c>
      <c r="AH44" s="3">
        <v>1253</v>
      </c>
      <c r="AI44" s="3">
        <v>1190</v>
      </c>
      <c r="AJ44" s="3">
        <v>839</v>
      </c>
      <c r="AK44" s="3">
        <v>633</v>
      </c>
      <c r="AL44" s="3">
        <v>503</v>
      </c>
      <c r="AM44" s="3">
        <v>377</v>
      </c>
      <c r="AN44" s="3">
        <v>352</v>
      </c>
      <c r="AO44" s="3">
        <v>278</v>
      </c>
      <c r="AP44" s="3">
        <v>173</v>
      </c>
      <c r="AQ44" s="3">
        <v>145</v>
      </c>
      <c r="AR44" s="3">
        <v>31636</v>
      </c>
      <c r="AS44" s="3">
        <v>5799</v>
      </c>
      <c r="AT44" s="3">
        <v>4880</v>
      </c>
      <c r="AU44" s="3">
        <v>3972</v>
      </c>
      <c r="AV44" s="3">
        <v>3065</v>
      </c>
      <c r="AW44" s="3">
        <v>2465</v>
      </c>
      <c r="AX44" s="3">
        <v>2272</v>
      </c>
      <c r="AY44" s="3">
        <v>1860</v>
      </c>
      <c r="AZ44" s="3">
        <v>1614</v>
      </c>
      <c r="BA44" s="3">
        <v>1392</v>
      </c>
      <c r="BB44" s="3">
        <v>985</v>
      </c>
      <c r="BC44" s="3">
        <v>898</v>
      </c>
      <c r="BD44" s="3">
        <v>699</v>
      </c>
      <c r="BE44" s="3">
        <v>601</v>
      </c>
      <c r="BF44" s="3">
        <v>411</v>
      </c>
      <c r="BG44" s="3">
        <v>318</v>
      </c>
      <c r="BH44" s="3">
        <v>212</v>
      </c>
      <c r="BI44" s="3">
        <v>193</v>
      </c>
    </row>
    <row r="45" spans="1:61" x14ac:dyDescent="0.25">
      <c r="A45" s="12" t="s">
        <v>3</v>
      </c>
      <c r="B45" s="12" t="s">
        <v>291</v>
      </c>
      <c r="C45" s="2" t="s">
        <v>253</v>
      </c>
      <c r="D45" s="2" t="s">
        <v>498</v>
      </c>
      <c r="E45" s="2" t="s">
        <v>257</v>
      </c>
      <c r="F45" s="2" t="s">
        <v>260</v>
      </c>
      <c r="G45" s="2">
        <v>2020</v>
      </c>
      <c r="H45" s="3">
        <v>59884</v>
      </c>
      <c r="I45" s="3">
        <v>11548</v>
      </c>
      <c r="J45" s="3">
        <v>9549</v>
      </c>
      <c r="K45" s="3">
        <v>7682</v>
      </c>
      <c r="L45" s="3">
        <v>5994</v>
      </c>
      <c r="M45" s="3">
        <v>4744</v>
      </c>
      <c r="N45" s="3">
        <v>3749</v>
      </c>
      <c r="O45" s="3">
        <v>3186</v>
      </c>
      <c r="P45" s="3">
        <v>2916</v>
      </c>
      <c r="Q45" s="3">
        <v>2669</v>
      </c>
      <c r="R45" s="3">
        <v>2048</v>
      </c>
      <c r="S45" s="3">
        <v>1589</v>
      </c>
      <c r="T45" s="3">
        <v>1203</v>
      </c>
      <c r="U45" s="3">
        <v>1078</v>
      </c>
      <c r="V45" s="3">
        <v>710</v>
      </c>
      <c r="W45" s="3">
        <v>554</v>
      </c>
      <c r="X45" s="3">
        <v>354</v>
      </c>
      <c r="Y45" s="3">
        <v>311</v>
      </c>
      <c r="Z45" s="3">
        <v>28902</v>
      </c>
      <c r="AA45" s="3">
        <v>5859</v>
      </c>
      <c r="AB45" s="3">
        <v>4750</v>
      </c>
      <c r="AC45" s="3">
        <v>3837</v>
      </c>
      <c r="AD45" s="3">
        <v>2925</v>
      </c>
      <c r="AE45" s="3">
        <v>2245</v>
      </c>
      <c r="AF45" s="3">
        <v>1688</v>
      </c>
      <c r="AG45" s="3">
        <v>1425</v>
      </c>
      <c r="AH45" s="3">
        <v>1268</v>
      </c>
      <c r="AI45" s="3">
        <v>1176</v>
      </c>
      <c r="AJ45" s="3">
        <v>1011</v>
      </c>
      <c r="AK45" s="3">
        <v>780</v>
      </c>
      <c r="AL45" s="3">
        <v>553</v>
      </c>
      <c r="AM45" s="3">
        <v>456</v>
      </c>
      <c r="AN45" s="3">
        <v>346</v>
      </c>
      <c r="AO45" s="3">
        <v>272</v>
      </c>
      <c r="AP45" s="3">
        <v>169</v>
      </c>
      <c r="AQ45" s="3">
        <v>142</v>
      </c>
      <c r="AR45" s="3">
        <v>30982</v>
      </c>
      <c r="AS45" s="3">
        <v>5689</v>
      </c>
      <c r="AT45" s="3">
        <v>4799</v>
      </c>
      <c r="AU45" s="3">
        <v>3845</v>
      </c>
      <c r="AV45" s="3">
        <v>3069</v>
      </c>
      <c r="AW45" s="3">
        <v>2499</v>
      </c>
      <c r="AX45" s="3">
        <v>2061</v>
      </c>
      <c r="AY45" s="3">
        <v>1761</v>
      </c>
      <c r="AZ45" s="3">
        <v>1648</v>
      </c>
      <c r="BA45" s="3">
        <v>1493</v>
      </c>
      <c r="BB45" s="3">
        <v>1037</v>
      </c>
      <c r="BC45" s="3">
        <v>809</v>
      </c>
      <c r="BD45" s="3">
        <v>650</v>
      </c>
      <c r="BE45" s="3">
        <v>622</v>
      </c>
      <c r="BF45" s="3">
        <v>364</v>
      </c>
      <c r="BG45" s="3">
        <v>282</v>
      </c>
      <c r="BH45" s="3">
        <v>185</v>
      </c>
      <c r="BI45" s="3">
        <v>169</v>
      </c>
    </row>
    <row r="46" spans="1:61" x14ac:dyDescent="0.25">
      <c r="A46" s="12" t="s">
        <v>3</v>
      </c>
      <c r="B46" s="12" t="s">
        <v>291</v>
      </c>
      <c r="C46" s="2" t="s">
        <v>96</v>
      </c>
      <c r="D46" s="2" t="s">
        <v>290</v>
      </c>
      <c r="E46" s="2" t="s">
        <v>104</v>
      </c>
      <c r="F46" s="2" t="s">
        <v>104</v>
      </c>
      <c r="G46" s="2">
        <v>2020</v>
      </c>
      <c r="H46" s="3">
        <v>321324</v>
      </c>
      <c r="I46" s="3">
        <v>58105</v>
      </c>
      <c r="J46" s="3">
        <v>50453</v>
      </c>
      <c r="K46" s="3">
        <v>43312</v>
      </c>
      <c r="L46" s="3">
        <v>34603</v>
      </c>
      <c r="M46" s="3">
        <v>28030</v>
      </c>
      <c r="N46" s="3">
        <v>21976</v>
      </c>
      <c r="O46" s="3">
        <v>18304</v>
      </c>
      <c r="P46" s="3">
        <v>15945</v>
      </c>
      <c r="Q46" s="3">
        <v>13744</v>
      </c>
      <c r="R46" s="3">
        <v>10170</v>
      </c>
      <c r="S46" s="3">
        <v>7466</v>
      </c>
      <c r="T46" s="3">
        <v>5901</v>
      </c>
      <c r="U46" s="3">
        <v>4868</v>
      </c>
      <c r="V46" s="3">
        <v>3291</v>
      </c>
      <c r="W46" s="3">
        <v>2478</v>
      </c>
      <c r="X46" s="3">
        <v>1601</v>
      </c>
      <c r="Y46" s="3">
        <v>1077</v>
      </c>
      <c r="Z46" s="3">
        <v>161576</v>
      </c>
      <c r="AA46" s="3">
        <v>29271</v>
      </c>
      <c r="AB46" s="3">
        <v>25434</v>
      </c>
      <c r="AC46" s="3">
        <v>22024</v>
      </c>
      <c r="AD46" s="3">
        <v>17690</v>
      </c>
      <c r="AE46" s="3">
        <v>14273</v>
      </c>
      <c r="AF46" s="3">
        <v>10990</v>
      </c>
      <c r="AG46" s="3">
        <v>8966</v>
      </c>
      <c r="AH46" s="3">
        <v>7964</v>
      </c>
      <c r="AI46" s="3">
        <v>6962</v>
      </c>
      <c r="AJ46" s="3">
        <v>5171</v>
      </c>
      <c r="AK46" s="3">
        <v>3709</v>
      </c>
      <c r="AL46" s="3">
        <v>2807</v>
      </c>
      <c r="AM46" s="3">
        <v>2277</v>
      </c>
      <c r="AN46" s="3">
        <v>1584</v>
      </c>
      <c r="AO46" s="3">
        <v>1242</v>
      </c>
      <c r="AP46" s="3">
        <v>727</v>
      </c>
      <c r="AQ46" s="3">
        <v>485</v>
      </c>
      <c r="AR46" s="3">
        <v>159748</v>
      </c>
      <c r="AS46" s="3">
        <v>28834</v>
      </c>
      <c r="AT46" s="3">
        <v>25019</v>
      </c>
      <c r="AU46" s="3">
        <v>21288</v>
      </c>
      <c r="AV46" s="3">
        <v>16913</v>
      </c>
      <c r="AW46" s="3">
        <v>13757</v>
      </c>
      <c r="AX46" s="3">
        <v>10986</v>
      </c>
      <c r="AY46" s="3">
        <v>9338</v>
      </c>
      <c r="AZ46" s="3">
        <v>7981</v>
      </c>
      <c r="BA46" s="3">
        <v>6782</v>
      </c>
      <c r="BB46" s="3">
        <v>4999</v>
      </c>
      <c r="BC46" s="3">
        <v>3757</v>
      </c>
      <c r="BD46" s="3">
        <v>3094</v>
      </c>
      <c r="BE46" s="3">
        <v>2591</v>
      </c>
      <c r="BF46" s="3">
        <v>1707</v>
      </c>
      <c r="BG46" s="3">
        <v>1236</v>
      </c>
      <c r="BH46" s="3">
        <v>874</v>
      </c>
      <c r="BI46" s="3">
        <v>592</v>
      </c>
    </row>
    <row r="47" spans="1:61" x14ac:dyDescent="0.25">
      <c r="A47" s="12" t="s">
        <v>3</v>
      </c>
      <c r="B47" s="12" t="s">
        <v>291</v>
      </c>
      <c r="C47" s="2" t="s">
        <v>199</v>
      </c>
      <c r="D47" s="2" t="s">
        <v>446</v>
      </c>
      <c r="E47" s="2" t="s">
        <v>201</v>
      </c>
      <c r="F47" s="2" t="s">
        <v>202</v>
      </c>
      <c r="G47" s="2">
        <v>2020</v>
      </c>
      <c r="H47" s="3">
        <v>54449</v>
      </c>
      <c r="I47" s="3">
        <v>11555</v>
      </c>
      <c r="J47" s="3">
        <v>9056</v>
      </c>
      <c r="K47" s="3">
        <v>6824</v>
      </c>
      <c r="L47" s="3">
        <v>4834</v>
      </c>
      <c r="M47" s="3">
        <v>4277</v>
      </c>
      <c r="N47" s="3">
        <v>4155</v>
      </c>
      <c r="O47" s="3">
        <v>3142</v>
      </c>
      <c r="P47" s="3">
        <v>2633</v>
      </c>
      <c r="Q47" s="3">
        <v>2331</v>
      </c>
      <c r="R47" s="3">
        <v>1774</v>
      </c>
      <c r="S47" s="3">
        <v>1253</v>
      </c>
      <c r="T47" s="3">
        <v>990</v>
      </c>
      <c r="U47" s="3">
        <v>673</v>
      </c>
      <c r="V47" s="3">
        <v>430</v>
      </c>
      <c r="W47" s="3">
        <v>273</v>
      </c>
      <c r="X47" s="3">
        <v>150</v>
      </c>
      <c r="Y47" s="3">
        <v>99</v>
      </c>
      <c r="Z47" s="3">
        <v>27331</v>
      </c>
      <c r="AA47" s="3">
        <v>5798</v>
      </c>
      <c r="AB47" s="3">
        <v>4477</v>
      </c>
      <c r="AC47" s="3">
        <v>3503</v>
      </c>
      <c r="AD47" s="3">
        <v>2373</v>
      </c>
      <c r="AE47" s="3">
        <v>2018</v>
      </c>
      <c r="AF47" s="3">
        <v>2021</v>
      </c>
      <c r="AG47" s="3">
        <v>1608</v>
      </c>
      <c r="AH47" s="3">
        <v>1394</v>
      </c>
      <c r="AI47" s="3">
        <v>1133</v>
      </c>
      <c r="AJ47" s="3">
        <v>963</v>
      </c>
      <c r="AK47" s="3">
        <v>674</v>
      </c>
      <c r="AL47" s="3">
        <v>540</v>
      </c>
      <c r="AM47" s="3">
        <v>330</v>
      </c>
      <c r="AN47" s="3">
        <v>229</v>
      </c>
      <c r="AO47" s="3">
        <v>144</v>
      </c>
      <c r="AP47" s="3">
        <v>80</v>
      </c>
      <c r="AQ47" s="3">
        <v>46</v>
      </c>
      <c r="AR47" s="3">
        <v>27118</v>
      </c>
      <c r="AS47" s="3">
        <v>5757</v>
      </c>
      <c r="AT47" s="3">
        <v>4579</v>
      </c>
      <c r="AU47" s="3">
        <v>3321</v>
      </c>
      <c r="AV47" s="3">
        <v>2461</v>
      </c>
      <c r="AW47" s="3">
        <v>2259</v>
      </c>
      <c r="AX47" s="3">
        <v>2134</v>
      </c>
      <c r="AY47" s="3">
        <v>1534</v>
      </c>
      <c r="AZ47" s="3">
        <v>1239</v>
      </c>
      <c r="BA47" s="3">
        <v>1198</v>
      </c>
      <c r="BB47" s="3">
        <v>811</v>
      </c>
      <c r="BC47" s="3">
        <v>579</v>
      </c>
      <c r="BD47" s="3">
        <v>450</v>
      </c>
      <c r="BE47" s="3">
        <v>343</v>
      </c>
      <c r="BF47" s="3">
        <v>201</v>
      </c>
      <c r="BG47" s="3">
        <v>129</v>
      </c>
      <c r="BH47" s="3">
        <v>70</v>
      </c>
      <c r="BI47" s="3">
        <v>53</v>
      </c>
    </row>
    <row r="48" spans="1:61" x14ac:dyDescent="0.25">
      <c r="A48" s="12" t="s">
        <v>3</v>
      </c>
      <c r="B48" s="12" t="s">
        <v>291</v>
      </c>
      <c r="C48" s="2" t="s">
        <v>199</v>
      </c>
      <c r="D48" s="2" t="s">
        <v>446</v>
      </c>
      <c r="E48" s="2" t="s">
        <v>201</v>
      </c>
      <c r="F48" s="2" t="s">
        <v>201</v>
      </c>
      <c r="G48" s="2">
        <v>2020</v>
      </c>
      <c r="H48" s="3">
        <v>108173</v>
      </c>
      <c r="I48" s="3">
        <v>23711</v>
      </c>
      <c r="J48" s="3">
        <v>17973</v>
      </c>
      <c r="K48" s="3">
        <v>13072</v>
      </c>
      <c r="L48" s="3">
        <v>9467</v>
      </c>
      <c r="M48" s="3">
        <v>8642</v>
      </c>
      <c r="N48" s="3">
        <v>8702</v>
      </c>
      <c r="O48" s="3">
        <v>6170</v>
      </c>
      <c r="P48" s="3">
        <v>5290</v>
      </c>
      <c r="Q48" s="3">
        <v>4313</v>
      </c>
      <c r="R48" s="3">
        <v>3184</v>
      </c>
      <c r="S48" s="3">
        <v>2608</v>
      </c>
      <c r="T48" s="3">
        <v>1960</v>
      </c>
      <c r="U48" s="3">
        <v>1399</v>
      </c>
      <c r="V48" s="3">
        <v>759</v>
      </c>
      <c r="W48" s="3">
        <v>482</v>
      </c>
      <c r="X48" s="3">
        <v>266</v>
      </c>
      <c r="Y48" s="3">
        <v>175</v>
      </c>
      <c r="Z48" s="3">
        <v>54453</v>
      </c>
      <c r="AA48" s="3">
        <v>11961</v>
      </c>
      <c r="AB48" s="3">
        <v>9066</v>
      </c>
      <c r="AC48" s="3">
        <v>6674</v>
      </c>
      <c r="AD48" s="3">
        <v>4776</v>
      </c>
      <c r="AE48" s="3">
        <v>3977</v>
      </c>
      <c r="AF48" s="3">
        <v>4216</v>
      </c>
      <c r="AG48" s="3">
        <v>3206</v>
      </c>
      <c r="AH48" s="3">
        <v>2748</v>
      </c>
      <c r="AI48" s="3">
        <v>2210</v>
      </c>
      <c r="AJ48" s="3">
        <v>1675</v>
      </c>
      <c r="AK48" s="3">
        <v>1412</v>
      </c>
      <c r="AL48" s="3">
        <v>961</v>
      </c>
      <c r="AM48" s="3">
        <v>692</v>
      </c>
      <c r="AN48" s="3">
        <v>404</v>
      </c>
      <c r="AO48" s="3">
        <v>253</v>
      </c>
      <c r="AP48" s="3">
        <v>142</v>
      </c>
      <c r="AQ48" s="3">
        <v>80</v>
      </c>
      <c r="AR48" s="3">
        <v>53720</v>
      </c>
      <c r="AS48" s="3">
        <v>11750</v>
      </c>
      <c r="AT48" s="3">
        <v>8907</v>
      </c>
      <c r="AU48" s="3">
        <v>6398</v>
      </c>
      <c r="AV48" s="3">
        <v>4691</v>
      </c>
      <c r="AW48" s="3">
        <v>4665</v>
      </c>
      <c r="AX48" s="3">
        <v>4486</v>
      </c>
      <c r="AY48" s="3">
        <v>2964</v>
      </c>
      <c r="AZ48" s="3">
        <v>2542</v>
      </c>
      <c r="BA48" s="3">
        <v>2103</v>
      </c>
      <c r="BB48" s="3">
        <v>1509</v>
      </c>
      <c r="BC48" s="3">
        <v>1196</v>
      </c>
      <c r="BD48" s="3">
        <v>999</v>
      </c>
      <c r="BE48" s="3">
        <v>707</v>
      </c>
      <c r="BF48" s="3">
        <v>355</v>
      </c>
      <c r="BG48" s="3">
        <v>229</v>
      </c>
      <c r="BH48" s="3">
        <v>124</v>
      </c>
      <c r="BI48" s="3">
        <v>95</v>
      </c>
    </row>
    <row r="49" spans="1:61" x14ac:dyDescent="0.25">
      <c r="A49" s="12" t="s">
        <v>3</v>
      </c>
      <c r="B49" s="12" t="s">
        <v>291</v>
      </c>
      <c r="C49" s="2" t="s">
        <v>199</v>
      </c>
      <c r="D49" s="2" t="s">
        <v>446</v>
      </c>
      <c r="E49" s="2" t="s">
        <v>203</v>
      </c>
      <c r="F49" s="2" t="s">
        <v>203</v>
      </c>
      <c r="G49" s="2">
        <v>2020</v>
      </c>
      <c r="H49" s="3">
        <v>282068</v>
      </c>
      <c r="I49" s="3">
        <v>48501</v>
      </c>
      <c r="J49" s="3">
        <v>43500</v>
      </c>
      <c r="K49" s="3">
        <v>38017</v>
      </c>
      <c r="L49" s="3">
        <v>32399</v>
      </c>
      <c r="M49" s="3">
        <v>25768</v>
      </c>
      <c r="N49" s="3">
        <v>20388</v>
      </c>
      <c r="O49" s="3">
        <v>16325</v>
      </c>
      <c r="P49" s="3">
        <v>14517</v>
      </c>
      <c r="Q49" s="3">
        <v>11538</v>
      </c>
      <c r="R49" s="3">
        <v>9190</v>
      </c>
      <c r="S49" s="3">
        <v>6509</v>
      </c>
      <c r="T49" s="3">
        <v>4918</v>
      </c>
      <c r="U49" s="3">
        <v>3873</v>
      </c>
      <c r="V49" s="3">
        <v>2581</v>
      </c>
      <c r="W49" s="3">
        <v>1910</v>
      </c>
      <c r="X49" s="3">
        <v>1225</v>
      </c>
      <c r="Y49" s="3">
        <v>909</v>
      </c>
      <c r="Z49" s="3">
        <v>140238</v>
      </c>
      <c r="AA49" s="3">
        <v>24413</v>
      </c>
      <c r="AB49" s="3">
        <v>21522</v>
      </c>
      <c r="AC49" s="3">
        <v>18776</v>
      </c>
      <c r="AD49" s="3">
        <v>16489</v>
      </c>
      <c r="AE49" s="3">
        <v>12844</v>
      </c>
      <c r="AF49" s="3">
        <v>9933</v>
      </c>
      <c r="AG49" s="3">
        <v>8000</v>
      </c>
      <c r="AH49" s="3">
        <v>7249</v>
      </c>
      <c r="AI49" s="3">
        <v>5986</v>
      </c>
      <c r="AJ49" s="3">
        <v>4532</v>
      </c>
      <c r="AK49" s="3">
        <v>3395</v>
      </c>
      <c r="AL49" s="3">
        <v>2356</v>
      </c>
      <c r="AM49" s="3">
        <v>1761</v>
      </c>
      <c r="AN49" s="3">
        <v>1204</v>
      </c>
      <c r="AO49" s="3">
        <v>895</v>
      </c>
      <c r="AP49" s="3">
        <v>549</v>
      </c>
      <c r="AQ49" s="3">
        <v>334</v>
      </c>
      <c r="AR49" s="3">
        <v>141830</v>
      </c>
      <c r="AS49" s="3">
        <v>24088</v>
      </c>
      <c r="AT49" s="3">
        <v>21978</v>
      </c>
      <c r="AU49" s="3">
        <v>19241</v>
      </c>
      <c r="AV49" s="3">
        <v>15910</v>
      </c>
      <c r="AW49" s="3">
        <v>12924</v>
      </c>
      <c r="AX49" s="3">
        <v>10455</v>
      </c>
      <c r="AY49" s="3">
        <v>8325</v>
      </c>
      <c r="AZ49" s="3">
        <v>7268</v>
      </c>
      <c r="BA49" s="3">
        <v>5552</v>
      </c>
      <c r="BB49" s="3">
        <v>4658</v>
      </c>
      <c r="BC49" s="3">
        <v>3114</v>
      </c>
      <c r="BD49" s="3">
        <v>2562</v>
      </c>
      <c r="BE49" s="3">
        <v>2112</v>
      </c>
      <c r="BF49" s="3">
        <v>1377</v>
      </c>
      <c r="BG49" s="3">
        <v>1015</v>
      </c>
      <c r="BH49" s="3">
        <v>676</v>
      </c>
      <c r="BI49" s="3">
        <v>575</v>
      </c>
    </row>
    <row r="50" spans="1:61" x14ac:dyDescent="0.25">
      <c r="A50" s="12" t="s">
        <v>3</v>
      </c>
      <c r="B50" s="12" t="s">
        <v>291</v>
      </c>
      <c r="C50" s="2" t="s">
        <v>199</v>
      </c>
      <c r="D50" s="2" t="s">
        <v>446</v>
      </c>
      <c r="E50" s="2" t="s">
        <v>203</v>
      </c>
      <c r="F50" s="2" t="s">
        <v>204</v>
      </c>
      <c r="G50" s="2">
        <v>2020</v>
      </c>
      <c r="H50" s="3">
        <v>60447</v>
      </c>
      <c r="I50" s="3">
        <v>11579</v>
      </c>
      <c r="J50" s="3">
        <v>10025</v>
      </c>
      <c r="K50" s="3">
        <v>8024</v>
      </c>
      <c r="L50" s="3">
        <v>5985</v>
      </c>
      <c r="M50" s="3">
        <v>4783</v>
      </c>
      <c r="N50" s="3">
        <v>3970</v>
      </c>
      <c r="O50" s="3">
        <v>3113</v>
      </c>
      <c r="P50" s="3">
        <v>2907</v>
      </c>
      <c r="Q50" s="3">
        <v>2394</v>
      </c>
      <c r="R50" s="3">
        <v>1980</v>
      </c>
      <c r="S50" s="3">
        <v>1447</v>
      </c>
      <c r="T50" s="3">
        <v>1186</v>
      </c>
      <c r="U50" s="3">
        <v>1008</v>
      </c>
      <c r="V50" s="3">
        <v>799</v>
      </c>
      <c r="W50" s="3">
        <v>590</v>
      </c>
      <c r="X50" s="3">
        <v>377</v>
      </c>
      <c r="Y50" s="3">
        <v>280</v>
      </c>
      <c r="Z50" s="3">
        <v>30355</v>
      </c>
      <c r="AA50" s="3">
        <v>5897</v>
      </c>
      <c r="AB50" s="3">
        <v>4999</v>
      </c>
      <c r="AC50" s="3">
        <v>4188</v>
      </c>
      <c r="AD50" s="3">
        <v>3042</v>
      </c>
      <c r="AE50" s="3">
        <v>2386</v>
      </c>
      <c r="AF50" s="3">
        <v>1999</v>
      </c>
      <c r="AG50" s="3">
        <v>1539</v>
      </c>
      <c r="AH50" s="3">
        <v>1452</v>
      </c>
      <c r="AI50" s="3">
        <v>1174</v>
      </c>
      <c r="AJ50" s="3">
        <v>996</v>
      </c>
      <c r="AK50" s="3">
        <v>767</v>
      </c>
      <c r="AL50" s="3">
        <v>521</v>
      </c>
      <c r="AM50" s="3">
        <v>429</v>
      </c>
      <c r="AN50" s="3">
        <v>390</v>
      </c>
      <c r="AO50" s="3">
        <v>289</v>
      </c>
      <c r="AP50" s="3">
        <v>178</v>
      </c>
      <c r="AQ50" s="3">
        <v>109</v>
      </c>
      <c r="AR50" s="3">
        <v>30092</v>
      </c>
      <c r="AS50" s="3">
        <v>5682</v>
      </c>
      <c r="AT50" s="3">
        <v>5026</v>
      </c>
      <c r="AU50" s="3">
        <v>3836</v>
      </c>
      <c r="AV50" s="3">
        <v>2943</v>
      </c>
      <c r="AW50" s="3">
        <v>2397</v>
      </c>
      <c r="AX50" s="3">
        <v>1971</v>
      </c>
      <c r="AY50" s="3">
        <v>1574</v>
      </c>
      <c r="AZ50" s="3">
        <v>1455</v>
      </c>
      <c r="BA50" s="3">
        <v>1220</v>
      </c>
      <c r="BB50" s="3">
        <v>984</v>
      </c>
      <c r="BC50" s="3">
        <v>680</v>
      </c>
      <c r="BD50" s="3">
        <v>665</v>
      </c>
      <c r="BE50" s="3">
        <v>579</v>
      </c>
      <c r="BF50" s="3">
        <v>409</v>
      </c>
      <c r="BG50" s="3">
        <v>301</v>
      </c>
      <c r="BH50" s="3">
        <v>199</v>
      </c>
      <c r="BI50" s="3">
        <v>171</v>
      </c>
    </row>
    <row r="51" spans="1:61" x14ac:dyDescent="0.25">
      <c r="A51" s="12" t="s">
        <v>3</v>
      </c>
      <c r="B51" s="12" t="s">
        <v>291</v>
      </c>
      <c r="C51" s="2" t="s">
        <v>215</v>
      </c>
      <c r="D51" s="2" t="s">
        <v>422</v>
      </c>
      <c r="E51" s="2" t="s">
        <v>221</v>
      </c>
      <c r="F51" s="2" t="s">
        <v>221</v>
      </c>
      <c r="G51" s="2">
        <v>2020</v>
      </c>
      <c r="H51" s="3">
        <v>90632</v>
      </c>
      <c r="I51" s="3">
        <v>18002</v>
      </c>
      <c r="J51" s="3">
        <v>14990</v>
      </c>
      <c r="K51" s="3">
        <v>12342</v>
      </c>
      <c r="L51" s="3">
        <v>9928</v>
      </c>
      <c r="M51" s="3">
        <v>7118</v>
      </c>
      <c r="N51" s="3">
        <v>5654</v>
      </c>
      <c r="O51" s="3">
        <v>4686</v>
      </c>
      <c r="P51" s="3">
        <v>4219</v>
      </c>
      <c r="Q51" s="3">
        <v>3740</v>
      </c>
      <c r="R51" s="3">
        <v>2797</v>
      </c>
      <c r="S51" s="3">
        <v>2054</v>
      </c>
      <c r="T51" s="3">
        <v>1571</v>
      </c>
      <c r="U51" s="3">
        <v>1305</v>
      </c>
      <c r="V51" s="3">
        <v>811</v>
      </c>
      <c r="W51" s="3">
        <v>724</v>
      </c>
      <c r="X51" s="3">
        <v>448</v>
      </c>
      <c r="Y51" s="3">
        <v>243</v>
      </c>
      <c r="Z51" s="3">
        <v>45245</v>
      </c>
      <c r="AA51" s="3">
        <v>9115</v>
      </c>
      <c r="AB51" s="3">
        <v>7608</v>
      </c>
      <c r="AC51" s="3">
        <v>6476</v>
      </c>
      <c r="AD51" s="3">
        <v>4991</v>
      </c>
      <c r="AE51" s="3">
        <v>3621</v>
      </c>
      <c r="AF51" s="3">
        <v>2677</v>
      </c>
      <c r="AG51" s="3">
        <v>2245</v>
      </c>
      <c r="AH51" s="3">
        <v>2016</v>
      </c>
      <c r="AI51" s="3">
        <v>1791</v>
      </c>
      <c r="AJ51" s="3">
        <v>1401</v>
      </c>
      <c r="AK51" s="3">
        <v>1018</v>
      </c>
      <c r="AL51" s="3">
        <v>702</v>
      </c>
      <c r="AM51" s="3">
        <v>567</v>
      </c>
      <c r="AN51" s="3">
        <v>383</v>
      </c>
      <c r="AO51" s="3">
        <v>319</v>
      </c>
      <c r="AP51" s="3">
        <v>219</v>
      </c>
      <c r="AQ51" s="3">
        <v>96</v>
      </c>
      <c r="AR51" s="3">
        <v>45387</v>
      </c>
      <c r="AS51" s="3">
        <v>8887</v>
      </c>
      <c r="AT51" s="3">
        <v>7382</v>
      </c>
      <c r="AU51" s="3">
        <v>5866</v>
      </c>
      <c r="AV51" s="3">
        <v>4937</v>
      </c>
      <c r="AW51" s="3">
        <v>3497</v>
      </c>
      <c r="AX51" s="3">
        <v>2977</v>
      </c>
      <c r="AY51" s="3">
        <v>2441</v>
      </c>
      <c r="AZ51" s="3">
        <v>2203</v>
      </c>
      <c r="BA51" s="3">
        <v>1949</v>
      </c>
      <c r="BB51" s="3">
        <v>1396</v>
      </c>
      <c r="BC51" s="3">
        <v>1036</v>
      </c>
      <c r="BD51" s="3">
        <v>869</v>
      </c>
      <c r="BE51" s="3">
        <v>738</v>
      </c>
      <c r="BF51" s="3">
        <v>428</v>
      </c>
      <c r="BG51" s="3">
        <v>405</v>
      </c>
      <c r="BH51" s="3">
        <v>229</v>
      </c>
      <c r="BI51" s="3">
        <v>147</v>
      </c>
    </row>
    <row r="52" spans="1:61" x14ac:dyDescent="0.25">
      <c r="A52" s="12" t="s">
        <v>3</v>
      </c>
      <c r="B52" s="12" t="s">
        <v>291</v>
      </c>
      <c r="C52" s="2" t="s">
        <v>138</v>
      </c>
      <c r="D52" s="2" t="s">
        <v>335</v>
      </c>
      <c r="E52" s="2" t="s">
        <v>145</v>
      </c>
      <c r="F52" s="2" t="s">
        <v>146</v>
      </c>
      <c r="G52" s="2">
        <v>2020</v>
      </c>
      <c r="H52" s="3">
        <v>84533</v>
      </c>
      <c r="I52" s="3">
        <v>16120</v>
      </c>
      <c r="J52" s="3">
        <v>14035</v>
      </c>
      <c r="K52" s="3">
        <v>11244</v>
      </c>
      <c r="L52" s="3">
        <v>8788</v>
      </c>
      <c r="M52" s="3">
        <v>7073</v>
      </c>
      <c r="N52" s="3">
        <v>5605</v>
      </c>
      <c r="O52" s="3">
        <v>4565</v>
      </c>
      <c r="P52" s="3">
        <v>3948</v>
      </c>
      <c r="Q52" s="3">
        <v>3259</v>
      </c>
      <c r="R52" s="3">
        <v>2757</v>
      </c>
      <c r="S52" s="3">
        <v>1649</v>
      </c>
      <c r="T52" s="3">
        <v>1411</v>
      </c>
      <c r="U52" s="3">
        <v>1502</v>
      </c>
      <c r="V52" s="3">
        <v>968</v>
      </c>
      <c r="W52" s="3">
        <v>740</v>
      </c>
      <c r="X52" s="3">
        <v>477</v>
      </c>
      <c r="Y52" s="3">
        <v>392</v>
      </c>
      <c r="Z52" s="3">
        <v>42120</v>
      </c>
      <c r="AA52" s="3">
        <v>8117</v>
      </c>
      <c r="AB52" s="3">
        <v>7090</v>
      </c>
      <c r="AC52" s="3">
        <v>5760</v>
      </c>
      <c r="AD52" s="3">
        <v>4547</v>
      </c>
      <c r="AE52" s="3">
        <v>3676</v>
      </c>
      <c r="AF52" s="3">
        <v>2825</v>
      </c>
      <c r="AG52" s="3">
        <v>2298</v>
      </c>
      <c r="AH52" s="3">
        <v>1866</v>
      </c>
      <c r="AI52" s="3">
        <v>1600</v>
      </c>
      <c r="AJ52" s="3">
        <v>1388</v>
      </c>
      <c r="AK52" s="3">
        <v>828</v>
      </c>
      <c r="AL52" s="3">
        <v>612</v>
      </c>
      <c r="AM52" s="3">
        <v>588</v>
      </c>
      <c r="AN52" s="3">
        <v>378</v>
      </c>
      <c r="AO52" s="3">
        <v>253</v>
      </c>
      <c r="AP52" s="3">
        <v>173</v>
      </c>
      <c r="AQ52" s="3">
        <v>121</v>
      </c>
      <c r="AR52" s="3">
        <v>42413</v>
      </c>
      <c r="AS52" s="3">
        <v>8003</v>
      </c>
      <c r="AT52" s="3">
        <v>6945</v>
      </c>
      <c r="AU52" s="3">
        <v>5484</v>
      </c>
      <c r="AV52" s="3">
        <v>4241</v>
      </c>
      <c r="AW52" s="3">
        <v>3397</v>
      </c>
      <c r="AX52" s="3">
        <v>2780</v>
      </c>
      <c r="AY52" s="3">
        <v>2267</v>
      </c>
      <c r="AZ52" s="3">
        <v>2082</v>
      </c>
      <c r="BA52" s="3">
        <v>1659</v>
      </c>
      <c r="BB52" s="3">
        <v>1369</v>
      </c>
      <c r="BC52" s="3">
        <v>821</v>
      </c>
      <c r="BD52" s="3">
        <v>799</v>
      </c>
      <c r="BE52" s="3">
        <v>914</v>
      </c>
      <c r="BF52" s="3">
        <v>590</v>
      </c>
      <c r="BG52" s="3">
        <v>487</v>
      </c>
      <c r="BH52" s="3">
        <v>304</v>
      </c>
      <c r="BI52" s="3">
        <v>271</v>
      </c>
    </row>
    <row r="53" spans="1:61" x14ac:dyDescent="0.25">
      <c r="A53" s="12" t="s">
        <v>3</v>
      </c>
      <c r="B53" s="12" t="s">
        <v>291</v>
      </c>
      <c r="C53" s="2" t="s">
        <v>138</v>
      </c>
      <c r="D53" s="2" t="s">
        <v>335</v>
      </c>
      <c r="E53" s="2" t="s">
        <v>145</v>
      </c>
      <c r="F53" s="2" t="s">
        <v>147</v>
      </c>
      <c r="G53" s="2">
        <v>2020</v>
      </c>
      <c r="H53" s="3">
        <v>118806</v>
      </c>
      <c r="I53" s="3">
        <v>21704</v>
      </c>
      <c r="J53" s="3">
        <v>18952</v>
      </c>
      <c r="K53" s="3">
        <v>16040</v>
      </c>
      <c r="L53" s="3">
        <v>12579</v>
      </c>
      <c r="M53" s="3">
        <v>10267</v>
      </c>
      <c r="N53" s="3">
        <v>8504</v>
      </c>
      <c r="O53" s="3">
        <v>6941</v>
      </c>
      <c r="P53" s="3">
        <v>5916</v>
      </c>
      <c r="Q53" s="3">
        <v>4733</v>
      </c>
      <c r="R53" s="3">
        <v>3627</v>
      </c>
      <c r="S53" s="3">
        <v>2408</v>
      </c>
      <c r="T53" s="3">
        <v>2029</v>
      </c>
      <c r="U53" s="3">
        <v>1873</v>
      </c>
      <c r="V53" s="3">
        <v>1221</v>
      </c>
      <c r="W53" s="3">
        <v>932</v>
      </c>
      <c r="X53" s="3">
        <v>595</v>
      </c>
      <c r="Y53" s="3">
        <v>485</v>
      </c>
      <c r="Z53" s="3">
        <v>59347</v>
      </c>
      <c r="AA53" s="3">
        <v>10915</v>
      </c>
      <c r="AB53" s="3">
        <v>9537</v>
      </c>
      <c r="AC53" s="3">
        <v>8250</v>
      </c>
      <c r="AD53" s="3">
        <v>6469</v>
      </c>
      <c r="AE53" s="3">
        <v>5200</v>
      </c>
      <c r="AF53" s="3">
        <v>4218</v>
      </c>
      <c r="AG53" s="3">
        <v>3488</v>
      </c>
      <c r="AH53" s="3">
        <v>2948</v>
      </c>
      <c r="AI53" s="3">
        <v>2319</v>
      </c>
      <c r="AJ53" s="3">
        <v>1830</v>
      </c>
      <c r="AK53" s="3">
        <v>1204</v>
      </c>
      <c r="AL53" s="3">
        <v>958</v>
      </c>
      <c r="AM53" s="3">
        <v>737</v>
      </c>
      <c r="AN53" s="3">
        <v>522</v>
      </c>
      <c r="AO53" s="3">
        <v>348</v>
      </c>
      <c r="AP53" s="3">
        <v>238</v>
      </c>
      <c r="AQ53" s="3">
        <v>166</v>
      </c>
      <c r="AR53" s="3">
        <v>59459</v>
      </c>
      <c r="AS53" s="3">
        <v>10789</v>
      </c>
      <c r="AT53" s="3">
        <v>9415</v>
      </c>
      <c r="AU53" s="3">
        <v>7790</v>
      </c>
      <c r="AV53" s="3">
        <v>6110</v>
      </c>
      <c r="AW53" s="3">
        <v>5067</v>
      </c>
      <c r="AX53" s="3">
        <v>4286</v>
      </c>
      <c r="AY53" s="3">
        <v>3453</v>
      </c>
      <c r="AZ53" s="3">
        <v>2968</v>
      </c>
      <c r="BA53" s="3">
        <v>2414</v>
      </c>
      <c r="BB53" s="3">
        <v>1797</v>
      </c>
      <c r="BC53" s="3">
        <v>1204</v>
      </c>
      <c r="BD53" s="3">
        <v>1071</v>
      </c>
      <c r="BE53" s="3">
        <v>1136</v>
      </c>
      <c r="BF53" s="3">
        <v>699</v>
      </c>
      <c r="BG53" s="3">
        <v>584</v>
      </c>
      <c r="BH53" s="3">
        <v>357</v>
      </c>
      <c r="BI53" s="3">
        <v>319</v>
      </c>
    </row>
    <row r="54" spans="1:61" x14ac:dyDescent="0.25">
      <c r="A54" s="12" t="s">
        <v>3</v>
      </c>
      <c r="B54" s="12" t="s">
        <v>291</v>
      </c>
      <c r="C54" s="2" t="s">
        <v>138</v>
      </c>
      <c r="D54" s="2" t="s">
        <v>335</v>
      </c>
      <c r="E54" s="2" t="s">
        <v>145</v>
      </c>
      <c r="F54" s="2" t="s">
        <v>148</v>
      </c>
      <c r="G54" s="2">
        <v>2020</v>
      </c>
      <c r="H54" s="3">
        <v>102177</v>
      </c>
      <c r="I54" s="3">
        <v>19891</v>
      </c>
      <c r="J54" s="3">
        <v>16824</v>
      </c>
      <c r="K54" s="3">
        <v>13403</v>
      </c>
      <c r="L54" s="3">
        <v>10126</v>
      </c>
      <c r="M54" s="3">
        <v>8468</v>
      </c>
      <c r="N54" s="3">
        <v>6975</v>
      </c>
      <c r="O54" s="3">
        <v>5614</v>
      </c>
      <c r="P54" s="3">
        <v>4869</v>
      </c>
      <c r="Q54" s="3">
        <v>4049</v>
      </c>
      <c r="R54" s="3">
        <v>3209</v>
      </c>
      <c r="S54" s="3">
        <v>2076</v>
      </c>
      <c r="T54" s="3">
        <v>1772</v>
      </c>
      <c r="U54" s="3">
        <v>1775</v>
      </c>
      <c r="V54" s="3">
        <v>1178</v>
      </c>
      <c r="W54" s="3">
        <v>899</v>
      </c>
      <c r="X54" s="3">
        <v>576</v>
      </c>
      <c r="Y54" s="3">
        <v>473</v>
      </c>
      <c r="Z54" s="3">
        <v>50622</v>
      </c>
      <c r="AA54" s="3">
        <v>9873</v>
      </c>
      <c r="AB54" s="3">
        <v>8407</v>
      </c>
      <c r="AC54" s="3">
        <v>6946</v>
      </c>
      <c r="AD54" s="3">
        <v>5185</v>
      </c>
      <c r="AE54" s="3">
        <v>4298</v>
      </c>
      <c r="AF54" s="3">
        <v>3451</v>
      </c>
      <c r="AG54" s="3">
        <v>2866</v>
      </c>
      <c r="AH54" s="3">
        <v>2361</v>
      </c>
      <c r="AI54" s="3">
        <v>1959</v>
      </c>
      <c r="AJ54" s="3">
        <v>1659</v>
      </c>
      <c r="AK54" s="3">
        <v>1016</v>
      </c>
      <c r="AL54" s="3">
        <v>802</v>
      </c>
      <c r="AM54" s="3">
        <v>611</v>
      </c>
      <c r="AN54" s="3">
        <v>487</v>
      </c>
      <c r="AO54" s="3">
        <v>324</v>
      </c>
      <c r="AP54" s="3">
        <v>222</v>
      </c>
      <c r="AQ54" s="3">
        <v>155</v>
      </c>
      <c r="AR54" s="3">
        <v>51555</v>
      </c>
      <c r="AS54" s="3">
        <v>10018</v>
      </c>
      <c r="AT54" s="3">
        <v>8417</v>
      </c>
      <c r="AU54" s="3">
        <v>6457</v>
      </c>
      <c r="AV54" s="3">
        <v>4941</v>
      </c>
      <c r="AW54" s="3">
        <v>4170</v>
      </c>
      <c r="AX54" s="3">
        <v>3524</v>
      </c>
      <c r="AY54" s="3">
        <v>2748</v>
      </c>
      <c r="AZ54" s="3">
        <v>2508</v>
      </c>
      <c r="BA54" s="3">
        <v>2090</v>
      </c>
      <c r="BB54" s="3">
        <v>1550</v>
      </c>
      <c r="BC54" s="3">
        <v>1060</v>
      </c>
      <c r="BD54" s="3">
        <v>970</v>
      </c>
      <c r="BE54" s="3">
        <v>1164</v>
      </c>
      <c r="BF54" s="3">
        <v>691</v>
      </c>
      <c r="BG54" s="3">
        <v>575</v>
      </c>
      <c r="BH54" s="3">
        <v>354</v>
      </c>
      <c r="BI54" s="3">
        <v>318</v>
      </c>
    </row>
    <row r="55" spans="1:61" x14ac:dyDescent="0.25">
      <c r="A55" s="12" t="s">
        <v>3</v>
      </c>
      <c r="B55" s="12" t="s">
        <v>291</v>
      </c>
      <c r="C55" s="2" t="s">
        <v>158</v>
      </c>
      <c r="D55" s="2" t="s">
        <v>363</v>
      </c>
      <c r="E55" s="2" t="s">
        <v>160</v>
      </c>
      <c r="F55" s="2" t="s">
        <v>160</v>
      </c>
      <c r="G55" s="2">
        <v>2020</v>
      </c>
      <c r="H55" s="3">
        <v>61767</v>
      </c>
      <c r="I55" s="3">
        <v>11077</v>
      </c>
      <c r="J55" s="3">
        <v>10027</v>
      </c>
      <c r="K55" s="3">
        <v>8524</v>
      </c>
      <c r="L55" s="3">
        <v>7070</v>
      </c>
      <c r="M55" s="3">
        <v>5198</v>
      </c>
      <c r="N55" s="3">
        <v>3920</v>
      </c>
      <c r="O55" s="3">
        <v>3351</v>
      </c>
      <c r="P55" s="3">
        <v>2957</v>
      </c>
      <c r="Q55" s="3">
        <v>2585</v>
      </c>
      <c r="R55" s="3">
        <v>1961</v>
      </c>
      <c r="S55" s="3">
        <v>1507</v>
      </c>
      <c r="T55" s="3">
        <v>1064</v>
      </c>
      <c r="U55" s="3">
        <v>878</v>
      </c>
      <c r="V55" s="3">
        <v>614</v>
      </c>
      <c r="W55" s="3">
        <v>501</v>
      </c>
      <c r="X55" s="3">
        <v>296</v>
      </c>
      <c r="Y55" s="3">
        <v>237</v>
      </c>
      <c r="Z55" s="3">
        <v>30865</v>
      </c>
      <c r="AA55" s="3">
        <v>5519</v>
      </c>
      <c r="AB55" s="3">
        <v>5108</v>
      </c>
      <c r="AC55" s="3">
        <v>4434</v>
      </c>
      <c r="AD55" s="3">
        <v>3631</v>
      </c>
      <c r="AE55" s="3">
        <v>2543</v>
      </c>
      <c r="AF55" s="3">
        <v>1863</v>
      </c>
      <c r="AG55" s="3">
        <v>1639</v>
      </c>
      <c r="AH55" s="3">
        <v>1439</v>
      </c>
      <c r="AI55" s="3">
        <v>1304</v>
      </c>
      <c r="AJ55" s="3">
        <v>995</v>
      </c>
      <c r="AK55" s="3">
        <v>786</v>
      </c>
      <c r="AL55" s="3">
        <v>482</v>
      </c>
      <c r="AM55" s="3">
        <v>373</v>
      </c>
      <c r="AN55" s="3">
        <v>284</v>
      </c>
      <c r="AO55" s="3">
        <v>231</v>
      </c>
      <c r="AP55" s="3">
        <v>141</v>
      </c>
      <c r="AQ55" s="3">
        <v>93</v>
      </c>
      <c r="AR55" s="3">
        <v>30902</v>
      </c>
      <c r="AS55" s="3">
        <v>5558</v>
      </c>
      <c r="AT55" s="3">
        <v>4919</v>
      </c>
      <c r="AU55" s="3">
        <v>4090</v>
      </c>
      <c r="AV55" s="3">
        <v>3439</v>
      </c>
      <c r="AW55" s="3">
        <v>2655</v>
      </c>
      <c r="AX55" s="3">
        <v>2057</v>
      </c>
      <c r="AY55" s="3">
        <v>1712</v>
      </c>
      <c r="AZ55" s="3">
        <v>1518</v>
      </c>
      <c r="BA55" s="3">
        <v>1281</v>
      </c>
      <c r="BB55" s="3">
        <v>966</v>
      </c>
      <c r="BC55" s="3">
        <v>721</v>
      </c>
      <c r="BD55" s="3">
        <v>582</v>
      </c>
      <c r="BE55" s="3">
        <v>505</v>
      </c>
      <c r="BF55" s="3">
        <v>330</v>
      </c>
      <c r="BG55" s="3">
        <v>270</v>
      </c>
      <c r="BH55" s="3">
        <v>155</v>
      </c>
      <c r="BI55" s="3">
        <v>144</v>
      </c>
    </row>
    <row r="56" spans="1:61" x14ac:dyDescent="0.25">
      <c r="A56" s="12" t="s">
        <v>3</v>
      </c>
      <c r="B56" s="12" t="s">
        <v>291</v>
      </c>
      <c r="C56" s="2" t="s">
        <v>158</v>
      </c>
      <c r="D56" s="2" t="s">
        <v>363</v>
      </c>
      <c r="E56" s="2" t="s">
        <v>160</v>
      </c>
      <c r="F56" s="2" t="s">
        <v>161</v>
      </c>
      <c r="G56" s="2">
        <v>2020</v>
      </c>
      <c r="H56" s="3">
        <v>56112</v>
      </c>
      <c r="I56" s="3">
        <v>10304</v>
      </c>
      <c r="J56" s="3">
        <v>9143</v>
      </c>
      <c r="K56" s="3">
        <v>7740</v>
      </c>
      <c r="L56" s="3">
        <v>5899</v>
      </c>
      <c r="M56" s="3">
        <v>4281</v>
      </c>
      <c r="N56" s="3">
        <v>3472</v>
      </c>
      <c r="O56" s="3">
        <v>3093</v>
      </c>
      <c r="P56" s="3">
        <v>2548</v>
      </c>
      <c r="Q56" s="3">
        <v>2459</v>
      </c>
      <c r="R56" s="3">
        <v>1945</v>
      </c>
      <c r="S56" s="3">
        <v>1541</v>
      </c>
      <c r="T56" s="3">
        <v>1147</v>
      </c>
      <c r="U56" s="3">
        <v>986</v>
      </c>
      <c r="V56" s="3">
        <v>581</v>
      </c>
      <c r="W56" s="3">
        <v>472</v>
      </c>
      <c r="X56" s="3">
        <v>279</v>
      </c>
      <c r="Y56" s="3">
        <v>222</v>
      </c>
      <c r="Z56" s="3">
        <v>27555</v>
      </c>
      <c r="AA56" s="3">
        <v>5097</v>
      </c>
      <c r="AB56" s="3">
        <v>4559</v>
      </c>
      <c r="AC56" s="3">
        <v>3983</v>
      </c>
      <c r="AD56" s="3">
        <v>2996</v>
      </c>
      <c r="AE56" s="3">
        <v>1996</v>
      </c>
      <c r="AF56" s="3">
        <v>1584</v>
      </c>
      <c r="AG56" s="3">
        <v>1483</v>
      </c>
      <c r="AH56" s="3">
        <v>1264</v>
      </c>
      <c r="AI56" s="3">
        <v>1171</v>
      </c>
      <c r="AJ56" s="3">
        <v>967</v>
      </c>
      <c r="AK56" s="3">
        <v>796</v>
      </c>
      <c r="AL56" s="3">
        <v>533</v>
      </c>
      <c r="AM56" s="3">
        <v>416</v>
      </c>
      <c r="AN56" s="3">
        <v>269</v>
      </c>
      <c r="AO56" s="3">
        <v>220</v>
      </c>
      <c r="AP56" s="3">
        <v>134</v>
      </c>
      <c r="AQ56" s="3">
        <v>87</v>
      </c>
      <c r="AR56" s="3">
        <v>28557</v>
      </c>
      <c r="AS56" s="3">
        <v>5207</v>
      </c>
      <c r="AT56" s="3">
        <v>4584</v>
      </c>
      <c r="AU56" s="3">
        <v>3757</v>
      </c>
      <c r="AV56" s="3">
        <v>2903</v>
      </c>
      <c r="AW56" s="3">
        <v>2285</v>
      </c>
      <c r="AX56" s="3">
        <v>1888</v>
      </c>
      <c r="AY56" s="3">
        <v>1610</v>
      </c>
      <c r="AZ56" s="3">
        <v>1284</v>
      </c>
      <c r="BA56" s="3">
        <v>1288</v>
      </c>
      <c r="BB56" s="3">
        <v>978</v>
      </c>
      <c r="BC56" s="3">
        <v>745</v>
      </c>
      <c r="BD56" s="3">
        <v>614</v>
      </c>
      <c r="BE56" s="3">
        <v>570</v>
      </c>
      <c r="BF56" s="3">
        <v>312</v>
      </c>
      <c r="BG56" s="3">
        <v>252</v>
      </c>
      <c r="BH56" s="3">
        <v>145</v>
      </c>
      <c r="BI56" s="3">
        <v>135</v>
      </c>
    </row>
    <row r="57" spans="1:61" x14ac:dyDescent="0.25">
      <c r="A57" s="12" t="s">
        <v>3</v>
      </c>
      <c r="B57" s="12" t="s">
        <v>291</v>
      </c>
      <c r="C57" s="2" t="s">
        <v>158</v>
      </c>
      <c r="D57" s="2" t="s">
        <v>363</v>
      </c>
      <c r="E57" s="2" t="s">
        <v>160</v>
      </c>
      <c r="F57" s="2" t="s">
        <v>162</v>
      </c>
      <c r="G57" s="2">
        <v>2020</v>
      </c>
      <c r="H57" s="3">
        <v>53424</v>
      </c>
      <c r="I57" s="3">
        <v>10572</v>
      </c>
      <c r="J57" s="3">
        <v>9113</v>
      </c>
      <c r="K57" s="3">
        <v>7366</v>
      </c>
      <c r="L57" s="3">
        <v>5493</v>
      </c>
      <c r="M57" s="3">
        <v>4218</v>
      </c>
      <c r="N57" s="3">
        <v>3373</v>
      </c>
      <c r="O57" s="3">
        <v>2784</v>
      </c>
      <c r="P57" s="3">
        <v>2417</v>
      </c>
      <c r="Q57" s="3">
        <v>2118</v>
      </c>
      <c r="R57" s="3">
        <v>1610</v>
      </c>
      <c r="S57" s="3">
        <v>1216</v>
      </c>
      <c r="T57" s="3">
        <v>915</v>
      </c>
      <c r="U57" s="3">
        <v>723</v>
      </c>
      <c r="V57" s="3">
        <v>565</v>
      </c>
      <c r="W57" s="3">
        <v>459</v>
      </c>
      <c r="X57" s="3">
        <v>268</v>
      </c>
      <c r="Y57" s="3">
        <v>214</v>
      </c>
      <c r="Z57" s="3">
        <v>26764</v>
      </c>
      <c r="AA57" s="3">
        <v>5308</v>
      </c>
      <c r="AB57" s="3">
        <v>4646</v>
      </c>
      <c r="AC57" s="3">
        <v>3785</v>
      </c>
      <c r="AD57" s="3">
        <v>2813</v>
      </c>
      <c r="AE57" s="3">
        <v>1993</v>
      </c>
      <c r="AF57" s="3">
        <v>1682</v>
      </c>
      <c r="AG57" s="3">
        <v>1381</v>
      </c>
      <c r="AH57" s="3">
        <v>1173</v>
      </c>
      <c r="AI57" s="3">
        <v>1071</v>
      </c>
      <c r="AJ57" s="3">
        <v>820</v>
      </c>
      <c r="AK57" s="3">
        <v>634</v>
      </c>
      <c r="AL57" s="3">
        <v>402</v>
      </c>
      <c r="AM57" s="3">
        <v>321</v>
      </c>
      <c r="AN57" s="3">
        <v>277</v>
      </c>
      <c r="AO57" s="3">
        <v>228</v>
      </c>
      <c r="AP57" s="3">
        <v>139</v>
      </c>
      <c r="AQ57" s="3">
        <v>91</v>
      </c>
      <c r="AR57" s="3">
        <v>26660</v>
      </c>
      <c r="AS57" s="3">
        <v>5264</v>
      </c>
      <c r="AT57" s="3">
        <v>4467</v>
      </c>
      <c r="AU57" s="3">
        <v>3581</v>
      </c>
      <c r="AV57" s="3">
        <v>2680</v>
      </c>
      <c r="AW57" s="3">
        <v>2225</v>
      </c>
      <c r="AX57" s="3">
        <v>1691</v>
      </c>
      <c r="AY57" s="3">
        <v>1403</v>
      </c>
      <c r="AZ57" s="3">
        <v>1244</v>
      </c>
      <c r="BA57" s="3">
        <v>1047</v>
      </c>
      <c r="BB57" s="3">
        <v>790</v>
      </c>
      <c r="BC57" s="3">
        <v>582</v>
      </c>
      <c r="BD57" s="3">
        <v>513</v>
      </c>
      <c r="BE57" s="3">
        <v>402</v>
      </c>
      <c r="BF57" s="3">
        <v>288</v>
      </c>
      <c r="BG57" s="3">
        <v>231</v>
      </c>
      <c r="BH57" s="3">
        <v>129</v>
      </c>
      <c r="BI57" s="3">
        <v>123</v>
      </c>
    </row>
    <row r="58" spans="1:61" x14ac:dyDescent="0.25">
      <c r="A58" s="12" t="s">
        <v>3</v>
      </c>
      <c r="B58" s="12" t="s">
        <v>291</v>
      </c>
      <c r="C58" s="2" t="s">
        <v>231</v>
      </c>
      <c r="D58" s="2" t="s">
        <v>470</v>
      </c>
      <c r="E58" s="2" t="s">
        <v>241</v>
      </c>
      <c r="F58" s="2" t="s">
        <v>242</v>
      </c>
      <c r="G58" s="2">
        <v>2020</v>
      </c>
      <c r="H58" s="3">
        <v>155408</v>
      </c>
      <c r="I58" s="3">
        <v>30710</v>
      </c>
      <c r="J58" s="3">
        <v>26150</v>
      </c>
      <c r="K58" s="3">
        <v>20862</v>
      </c>
      <c r="L58" s="3">
        <v>15682</v>
      </c>
      <c r="M58" s="3">
        <v>12388</v>
      </c>
      <c r="N58" s="3">
        <v>10493</v>
      </c>
      <c r="O58" s="3">
        <v>8769</v>
      </c>
      <c r="P58" s="3">
        <v>7373</v>
      </c>
      <c r="Q58" s="3">
        <v>6073</v>
      </c>
      <c r="R58" s="3">
        <v>4561</v>
      </c>
      <c r="S58" s="3">
        <v>3290</v>
      </c>
      <c r="T58" s="3">
        <v>2377</v>
      </c>
      <c r="U58" s="3">
        <v>2132</v>
      </c>
      <c r="V58" s="3">
        <v>1705</v>
      </c>
      <c r="W58" s="3">
        <v>1314</v>
      </c>
      <c r="X58" s="3">
        <v>842</v>
      </c>
      <c r="Y58" s="3">
        <v>687</v>
      </c>
      <c r="Z58" s="3">
        <v>78008</v>
      </c>
      <c r="AA58" s="3">
        <v>15576</v>
      </c>
      <c r="AB58" s="3">
        <v>13262</v>
      </c>
      <c r="AC58" s="3">
        <v>10865</v>
      </c>
      <c r="AD58" s="3">
        <v>8135</v>
      </c>
      <c r="AE58" s="3">
        <v>6249</v>
      </c>
      <c r="AF58" s="3">
        <v>5287</v>
      </c>
      <c r="AG58" s="3">
        <v>4322</v>
      </c>
      <c r="AH58" s="3">
        <v>3630</v>
      </c>
      <c r="AI58" s="3">
        <v>2916</v>
      </c>
      <c r="AJ58" s="3">
        <v>2322</v>
      </c>
      <c r="AK58" s="3">
        <v>1648</v>
      </c>
      <c r="AL58" s="3">
        <v>1077</v>
      </c>
      <c r="AM58" s="3">
        <v>821</v>
      </c>
      <c r="AN58" s="3">
        <v>771</v>
      </c>
      <c r="AO58" s="3">
        <v>541</v>
      </c>
      <c r="AP58" s="3">
        <v>353</v>
      </c>
      <c r="AQ58" s="3">
        <v>233</v>
      </c>
      <c r="AR58" s="3">
        <v>77400</v>
      </c>
      <c r="AS58" s="3">
        <v>15134</v>
      </c>
      <c r="AT58" s="3">
        <v>12888</v>
      </c>
      <c r="AU58" s="3">
        <v>9997</v>
      </c>
      <c r="AV58" s="3">
        <v>7547</v>
      </c>
      <c r="AW58" s="3">
        <v>6139</v>
      </c>
      <c r="AX58" s="3">
        <v>5206</v>
      </c>
      <c r="AY58" s="3">
        <v>4447</v>
      </c>
      <c r="AZ58" s="3">
        <v>3743</v>
      </c>
      <c r="BA58" s="3">
        <v>3157</v>
      </c>
      <c r="BB58" s="3">
        <v>2239</v>
      </c>
      <c r="BC58" s="3">
        <v>1642</v>
      </c>
      <c r="BD58" s="3">
        <v>1300</v>
      </c>
      <c r="BE58" s="3">
        <v>1311</v>
      </c>
      <c r="BF58" s="3">
        <v>934</v>
      </c>
      <c r="BG58" s="3">
        <v>773</v>
      </c>
      <c r="BH58" s="3">
        <v>489</v>
      </c>
      <c r="BI58" s="3">
        <v>454</v>
      </c>
    </row>
    <row r="59" spans="1:61" x14ac:dyDescent="0.25">
      <c r="A59" s="12" t="s">
        <v>3</v>
      </c>
      <c r="B59" s="12" t="s">
        <v>291</v>
      </c>
      <c r="C59" s="2" t="s">
        <v>114</v>
      </c>
      <c r="D59" s="2" t="s">
        <v>313</v>
      </c>
      <c r="E59" s="2" t="s">
        <v>119</v>
      </c>
      <c r="F59" s="2" t="s">
        <v>120</v>
      </c>
      <c r="G59" s="2">
        <v>2020</v>
      </c>
      <c r="H59" s="3">
        <v>152486</v>
      </c>
      <c r="I59" s="3">
        <v>23705</v>
      </c>
      <c r="J59" s="3">
        <v>20751</v>
      </c>
      <c r="K59" s="3">
        <v>19448</v>
      </c>
      <c r="L59" s="3">
        <v>17610</v>
      </c>
      <c r="M59" s="3">
        <v>14734</v>
      </c>
      <c r="N59" s="3">
        <v>12763</v>
      </c>
      <c r="O59" s="3">
        <v>10457</v>
      </c>
      <c r="P59" s="3">
        <v>8720</v>
      </c>
      <c r="Q59" s="3">
        <v>7364</v>
      </c>
      <c r="R59" s="3">
        <v>4996</v>
      </c>
      <c r="S59" s="3">
        <v>3721</v>
      </c>
      <c r="T59" s="3">
        <v>2898</v>
      </c>
      <c r="U59" s="3">
        <v>2137</v>
      </c>
      <c r="V59" s="3">
        <v>1368</v>
      </c>
      <c r="W59" s="3">
        <v>896</v>
      </c>
      <c r="X59" s="3">
        <v>544</v>
      </c>
      <c r="Y59" s="3">
        <v>374</v>
      </c>
      <c r="Z59" s="3">
        <v>76045</v>
      </c>
      <c r="AA59" s="3">
        <v>11752</v>
      </c>
      <c r="AB59" s="3">
        <v>10336</v>
      </c>
      <c r="AC59" s="3">
        <v>9446</v>
      </c>
      <c r="AD59" s="3">
        <v>8688</v>
      </c>
      <c r="AE59" s="3">
        <v>7395</v>
      </c>
      <c r="AF59" s="3">
        <v>6417</v>
      </c>
      <c r="AG59" s="3">
        <v>5403</v>
      </c>
      <c r="AH59" s="3">
        <v>4409</v>
      </c>
      <c r="AI59" s="3">
        <v>3816</v>
      </c>
      <c r="AJ59" s="3">
        <v>2540</v>
      </c>
      <c r="AK59" s="3">
        <v>1893</v>
      </c>
      <c r="AL59" s="3">
        <v>1326</v>
      </c>
      <c r="AM59" s="3">
        <v>1066</v>
      </c>
      <c r="AN59" s="3">
        <v>735</v>
      </c>
      <c r="AO59" s="3">
        <v>438</v>
      </c>
      <c r="AP59" s="3">
        <v>245</v>
      </c>
      <c r="AQ59" s="3">
        <v>140</v>
      </c>
      <c r="AR59" s="3">
        <v>76441</v>
      </c>
      <c r="AS59" s="3">
        <v>11953</v>
      </c>
      <c r="AT59" s="3">
        <v>10415</v>
      </c>
      <c r="AU59" s="3">
        <v>10002</v>
      </c>
      <c r="AV59" s="3">
        <v>8922</v>
      </c>
      <c r="AW59" s="3">
        <v>7339</v>
      </c>
      <c r="AX59" s="3">
        <v>6346</v>
      </c>
      <c r="AY59" s="3">
        <v>5054</v>
      </c>
      <c r="AZ59" s="3">
        <v>4311</v>
      </c>
      <c r="BA59" s="3">
        <v>3548</v>
      </c>
      <c r="BB59" s="3">
        <v>2456</v>
      </c>
      <c r="BC59" s="3">
        <v>1828</v>
      </c>
      <c r="BD59" s="3">
        <v>1572</v>
      </c>
      <c r="BE59" s="3">
        <v>1071</v>
      </c>
      <c r="BF59" s="3">
        <v>633</v>
      </c>
      <c r="BG59" s="3">
        <v>458</v>
      </c>
      <c r="BH59" s="3">
        <v>299</v>
      </c>
      <c r="BI59" s="3">
        <v>234</v>
      </c>
    </row>
    <row r="60" spans="1:61" x14ac:dyDescent="0.25">
      <c r="A60" s="12" t="s">
        <v>3</v>
      </c>
      <c r="B60" s="12" t="s">
        <v>291</v>
      </c>
      <c r="C60" s="2" t="s">
        <v>114</v>
      </c>
      <c r="D60" s="2" t="s">
        <v>313</v>
      </c>
      <c r="E60" s="2" t="s">
        <v>119</v>
      </c>
      <c r="F60" s="2" t="s">
        <v>121</v>
      </c>
      <c r="G60" s="2">
        <v>2020</v>
      </c>
      <c r="H60" s="3">
        <v>131443</v>
      </c>
      <c r="I60" s="3">
        <v>19698</v>
      </c>
      <c r="J60" s="3">
        <v>16877</v>
      </c>
      <c r="K60" s="3">
        <v>16320</v>
      </c>
      <c r="L60" s="3">
        <v>15677</v>
      </c>
      <c r="M60" s="3">
        <v>13079</v>
      </c>
      <c r="N60" s="3">
        <v>11347</v>
      </c>
      <c r="O60" s="3">
        <v>9863</v>
      </c>
      <c r="P60" s="3">
        <v>7896</v>
      </c>
      <c r="Q60" s="3">
        <v>6569</v>
      </c>
      <c r="R60" s="3">
        <v>4386</v>
      </c>
      <c r="S60" s="3">
        <v>3244</v>
      </c>
      <c r="T60" s="3">
        <v>2502</v>
      </c>
      <c r="U60" s="3">
        <v>1705</v>
      </c>
      <c r="V60" s="3">
        <v>975</v>
      </c>
      <c r="W60" s="3">
        <v>641</v>
      </c>
      <c r="X60" s="3">
        <v>393</v>
      </c>
      <c r="Y60" s="3">
        <v>271</v>
      </c>
      <c r="Z60" s="3">
        <v>65919</v>
      </c>
      <c r="AA60" s="3">
        <v>9964</v>
      </c>
      <c r="AB60" s="3">
        <v>8268</v>
      </c>
      <c r="AC60" s="3">
        <v>7842</v>
      </c>
      <c r="AD60" s="3">
        <v>7741</v>
      </c>
      <c r="AE60" s="3">
        <v>6669</v>
      </c>
      <c r="AF60" s="3">
        <v>5667</v>
      </c>
      <c r="AG60" s="3">
        <v>5105</v>
      </c>
      <c r="AH60" s="3">
        <v>4138</v>
      </c>
      <c r="AI60" s="3">
        <v>3636</v>
      </c>
      <c r="AJ60" s="3">
        <v>2228</v>
      </c>
      <c r="AK60" s="3">
        <v>1607</v>
      </c>
      <c r="AL60" s="3">
        <v>1191</v>
      </c>
      <c r="AM60" s="3">
        <v>812</v>
      </c>
      <c r="AN60" s="3">
        <v>496</v>
      </c>
      <c r="AO60" s="3">
        <v>296</v>
      </c>
      <c r="AP60" s="3">
        <v>165</v>
      </c>
      <c r="AQ60" s="3">
        <v>94</v>
      </c>
      <c r="AR60" s="3">
        <v>65524</v>
      </c>
      <c r="AS60" s="3">
        <v>9734</v>
      </c>
      <c r="AT60" s="3">
        <v>8609</v>
      </c>
      <c r="AU60" s="3">
        <v>8478</v>
      </c>
      <c r="AV60" s="3">
        <v>7936</v>
      </c>
      <c r="AW60" s="3">
        <v>6410</v>
      </c>
      <c r="AX60" s="3">
        <v>5680</v>
      </c>
      <c r="AY60" s="3">
        <v>4758</v>
      </c>
      <c r="AZ60" s="3">
        <v>3758</v>
      </c>
      <c r="BA60" s="3">
        <v>2933</v>
      </c>
      <c r="BB60" s="3">
        <v>2158</v>
      </c>
      <c r="BC60" s="3">
        <v>1637</v>
      </c>
      <c r="BD60" s="3">
        <v>1311</v>
      </c>
      <c r="BE60" s="3">
        <v>893</v>
      </c>
      <c r="BF60" s="3">
        <v>479</v>
      </c>
      <c r="BG60" s="3">
        <v>345</v>
      </c>
      <c r="BH60" s="3">
        <v>228</v>
      </c>
      <c r="BI60" s="3">
        <v>177</v>
      </c>
    </row>
    <row r="61" spans="1:61" x14ac:dyDescent="0.25">
      <c r="A61" s="12" t="s">
        <v>3</v>
      </c>
      <c r="B61" s="12" t="s">
        <v>291</v>
      </c>
      <c r="C61" s="2" t="s">
        <v>114</v>
      </c>
      <c r="D61" s="2" t="s">
        <v>313</v>
      </c>
      <c r="E61" s="2" t="s">
        <v>119</v>
      </c>
      <c r="F61" s="2" t="s">
        <v>122</v>
      </c>
      <c r="G61" s="2">
        <v>2020</v>
      </c>
      <c r="H61" s="3">
        <v>176230</v>
      </c>
      <c r="I61" s="3">
        <v>26619</v>
      </c>
      <c r="J61" s="3">
        <v>22808</v>
      </c>
      <c r="K61" s="3">
        <v>21176</v>
      </c>
      <c r="L61" s="3">
        <v>20128</v>
      </c>
      <c r="M61" s="3">
        <v>18161</v>
      </c>
      <c r="N61" s="3">
        <v>15631</v>
      </c>
      <c r="O61" s="3">
        <v>13088</v>
      </c>
      <c r="P61" s="3">
        <v>10215</v>
      </c>
      <c r="Q61" s="3">
        <v>8478</v>
      </c>
      <c r="R61" s="3">
        <v>6218</v>
      </c>
      <c r="S61" s="3">
        <v>4878</v>
      </c>
      <c r="T61" s="3">
        <v>3554</v>
      </c>
      <c r="U61" s="3">
        <v>2304</v>
      </c>
      <c r="V61" s="3">
        <v>1277</v>
      </c>
      <c r="W61" s="3">
        <v>836</v>
      </c>
      <c r="X61" s="3">
        <v>509</v>
      </c>
      <c r="Y61" s="3">
        <v>350</v>
      </c>
      <c r="Z61" s="3">
        <v>89018</v>
      </c>
      <c r="AA61" s="3">
        <v>13393</v>
      </c>
      <c r="AB61" s="3">
        <v>11385</v>
      </c>
      <c r="AC61" s="3">
        <v>10396</v>
      </c>
      <c r="AD61" s="3">
        <v>9777</v>
      </c>
      <c r="AE61" s="3">
        <v>9220</v>
      </c>
      <c r="AF61" s="3">
        <v>7869</v>
      </c>
      <c r="AG61" s="3">
        <v>6792</v>
      </c>
      <c r="AH61" s="3">
        <v>5384</v>
      </c>
      <c r="AI61" s="3">
        <v>4416</v>
      </c>
      <c r="AJ61" s="3">
        <v>3228</v>
      </c>
      <c r="AK61" s="3">
        <v>2583</v>
      </c>
      <c r="AL61" s="3">
        <v>1893</v>
      </c>
      <c r="AM61" s="3">
        <v>1226</v>
      </c>
      <c r="AN61" s="3">
        <v>687</v>
      </c>
      <c r="AO61" s="3">
        <v>409</v>
      </c>
      <c r="AP61" s="3">
        <v>229</v>
      </c>
      <c r="AQ61" s="3">
        <v>131</v>
      </c>
      <c r="AR61" s="3">
        <v>87212</v>
      </c>
      <c r="AS61" s="3">
        <v>13226</v>
      </c>
      <c r="AT61" s="3">
        <v>11423</v>
      </c>
      <c r="AU61" s="3">
        <v>10780</v>
      </c>
      <c r="AV61" s="3">
        <v>10351</v>
      </c>
      <c r="AW61" s="3">
        <v>8941</v>
      </c>
      <c r="AX61" s="3">
        <v>7762</v>
      </c>
      <c r="AY61" s="3">
        <v>6296</v>
      </c>
      <c r="AZ61" s="3">
        <v>4831</v>
      </c>
      <c r="BA61" s="3">
        <v>4062</v>
      </c>
      <c r="BB61" s="3">
        <v>2990</v>
      </c>
      <c r="BC61" s="3">
        <v>2295</v>
      </c>
      <c r="BD61" s="3">
        <v>1661</v>
      </c>
      <c r="BE61" s="3">
        <v>1078</v>
      </c>
      <c r="BF61" s="3">
        <v>590</v>
      </c>
      <c r="BG61" s="3">
        <v>427</v>
      </c>
      <c r="BH61" s="3">
        <v>280</v>
      </c>
      <c r="BI61" s="3">
        <v>219</v>
      </c>
    </row>
    <row r="62" spans="1:61" x14ac:dyDescent="0.25">
      <c r="A62" s="12" t="s">
        <v>3</v>
      </c>
      <c r="B62" s="12" t="s">
        <v>291</v>
      </c>
      <c r="C62" s="2" t="s">
        <v>114</v>
      </c>
      <c r="D62" s="2" t="s">
        <v>313</v>
      </c>
      <c r="E62" s="2" t="s">
        <v>119</v>
      </c>
      <c r="F62" s="2" t="s">
        <v>123</v>
      </c>
      <c r="G62" s="2">
        <v>2020</v>
      </c>
      <c r="H62" s="3">
        <v>104060</v>
      </c>
      <c r="I62" s="3">
        <v>14707</v>
      </c>
      <c r="J62" s="3">
        <v>11812</v>
      </c>
      <c r="K62" s="3">
        <v>12330</v>
      </c>
      <c r="L62" s="3">
        <v>12545</v>
      </c>
      <c r="M62" s="3">
        <v>11756</v>
      </c>
      <c r="N62" s="3">
        <v>10675</v>
      </c>
      <c r="O62" s="3">
        <v>8389</v>
      </c>
      <c r="P62" s="3">
        <v>6186</v>
      </c>
      <c r="Q62" s="3">
        <v>4996</v>
      </c>
      <c r="R62" s="3">
        <v>3536</v>
      </c>
      <c r="S62" s="3">
        <v>2594</v>
      </c>
      <c r="T62" s="3">
        <v>1976</v>
      </c>
      <c r="U62" s="3">
        <v>1140</v>
      </c>
      <c r="V62" s="3">
        <v>609</v>
      </c>
      <c r="W62" s="3">
        <v>398</v>
      </c>
      <c r="X62" s="3">
        <v>244</v>
      </c>
      <c r="Y62" s="3">
        <v>167</v>
      </c>
      <c r="Z62" s="3">
        <v>52623</v>
      </c>
      <c r="AA62" s="3">
        <v>7387</v>
      </c>
      <c r="AB62" s="3">
        <v>5840</v>
      </c>
      <c r="AC62" s="3">
        <v>5846</v>
      </c>
      <c r="AD62" s="3">
        <v>6095</v>
      </c>
      <c r="AE62" s="3">
        <v>5946</v>
      </c>
      <c r="AF62" s="3">
        <v>5507</v>
      </c>
      <c r="AG62" s="3">
        <v>4438</v>
      </c>
      <c r="AH62" s="3">
        <v>3305</v>
      </c>
      <c r="AI62" s="3">
        <v>2616</v>
      </c>
      <c r="AJ62" s="3">
        <v>1840</v>
      </c>
      <c r="AK62" s="3">
        <v>1376</v>
      </c>
      <c r="AL62" s="3">
        <v>1105</v>
      </c>
      <c r="AM62" s="3">
        <v>651</v>
      </c>
      <c r="AN62" s="3">
        <v>317</v>
      </c>
      <c r="AO62" s="3">
        <v>189</v>
      </c>
      <c r="AP62" s="3">
        <v>105</v>
      </c>
      <c r="AQ62" s="3">
        <v>60</v>
      </c>
      <c r="AR62" s="3">
        <v>51437</v>
      </c>
      <c r="AS62" s="3">
        <v>7320</v>
      </c>
      <c r="AT62" s="3">
        <v>5972</v>
      </c>
      <c r="AU62" s="3">
        <v>6484</v>
      </c>
      <c r="AV62" s="3">
        <v>6450</v>
      </c>
      <c r="AW62" s="3">
        <v>5810</v>
      </c>
      <c r="AX62" s="3">
        <v>5168</v>
      </c>
      <c r="AY62" s="3">
        <v>3951</v>
      </c>
      <c r="AZ62" s="3">
        <v>2881</v>
      </c>
      <c r="BA62" s="3">
        <v>2380</v>
      </c>
      <c r="BB62" s="3">
        <v>1696</v>
      </c>
      <c r="BC62" s="3">
        <v>1218</v>
      </c>
      <c r="BD62" s="3">
        <v>871</v>
      </c>
      <c r="BE62" s="3">
        <v>489</v>
      </c>
      <c r="BF62" s="3">
        <v>292</v>
      </c>
      <c r="BG62" s="3">
        <v>209</v>
      </c>
      <c r="BH62" s="3">
        <v>139</v>
      </c>
      <c r="BI62" s="3">
        <v>107</v>
      </c>
    </row>
    <row r="63" spans="1:61" x14ac:dyDescent="0.25">
      <c r="A63" s="12" t="s">
        <v>3</v>
      </c>
      <c r="B63" s="12" t="s">
        <v>291</v>
      </c>
      <c r="C63" s="2" t="s">
        <v>114</v>
      </c>
      <c r="D63" s="2" t="s">
        <v>313</v>
      </c>
      <c r="E63" s="2" t="s">
        <v>119</v>
      </c>
      <c r="F63" s="2" t="s">
        <v>124</v>
      </c>
      <c r="G63" s="2">
        <v>2020</v>
      </c>
      <c r="H63" s="3">
        <v>129112</v>
      </c>
      <c r="I63" s="3">
        <v>19149</v>
      </c>
      <c r="J63" s="3">
        <v>16667</v>
      </c>
      <c r="K63" s="3">
        <v>16776</v>
      </c>
      <c r="L63" s="3">
        <v>16323</v>
      </c>
      <c r="M63" s="3">
        <v>13523</v>
      </c>
      <c r="N63" s="3">
        <v>11307</v>
      </c>
      <c r="O63" s="3">
        <v>9228</v>
      </c>
      <c r="P63" s="3">
        <v>7289</v>
      </c>
      <c r="Q63" s="3">
        <v>6264</v>
      </c>
      <c r="R63" s="3">
        <v>4428</v>
      </c>
      <c r="S63" s="3">
        <v>3093</v>
      </c>
      <c r="T63" s="3">
        <v>2166</v>
      </c>
      <c r="U63" s="3">
        <v>1328</v>
      </c>
      <c r="V63" s="3">
        <v>675</v>
      </c>
      <c r="W63" s="3">
        <v>443</v>
      </c>
      <c r="X63" s="3">
        <v>269</v>
      </c>
      <c r="Y63" s="3">
        <v>184</v>
      </c>
      <c r="Z63" s="3">
        <v>65478</v>
      </c>
      <c r="AA63" s="3">
        <v>9551</v>
      </c>
      <c r="AB63" s="3">
        <v>8256</v>
      </c>
      <c r="AC63" s="3">
        <v>8080</v>
      </c>
      <c r="AD63" s="3">
        <v>7989</v>
      </c>
      <c r="AE63" s="3">
        <v>6917</v>
      </c>
      <c r="AF63" s="3">
        <v>5903</v>
      </c>
      <c r="AG63" s="3">
        <v>4820</v>
      </c>
      <c r="AH63" s="3">
        <v>3718</v>
      </c>
      <c r="AI63" s="3">
        <v>3309</v>
      </c>
      <c r="AJ63" s="3">
        <v>2438</v>
      </c>
      <c r="AK63" s="3">
        <v>1682</v>
      </c>
      <c r="AL63" s="3">
        <v>1291</v>
      </c>
      <c r="AM63" s="3">
        <v>756</v>
      </c>
      <c r="AN63" s="3">
        <v>362</v>
      </c>
      <c r="AO63" s="3">
        <v>216</v>
      </c>
      <c r="AP63" s="3">
        <v>121</v>
      </c>
      <c r="AQ63" s="3">
        <v>69</v>
      </c>
      <c r="AR63" s="3">
        <v>63634</v>
      </c>
      <c r="AS63" s="3">
        <v>9598</v>
      </c>
      <c r="AT63" s="3">
        <v>8411</v>
      </c>
      <c r="AU63" s="3">
        <v>8696</v>
      </c>
      <c r="AV63" s="3">
        <v>8334</v>
      </c>
      <c r="AW63" s="3">
        <v>6606</v>
      </c>
      <c r="AX63" s="3">
        <v>5404</v>
      </c>
      <c r="AY63" s="3">
        <v>4408</v>
      </c>
      <c r="AZ63" s="3">
        <v>3571</v>
      </c>
      <c r="BA63" s="3">
        <v>2955</v>
      </c>
      <c r="BB63" s="3">
        <v>1990</v>
      </c>
      <c r="BC63" s="3">
        <v>1411</v>
      </c>
      <c r="BD63" s="3">
        <v>875</v>
      </c>
      <c r="BE63" s="3">
        <v>572</v>
      </c>
      <c r="BF63" s="3">
        <v>313</v>
      </c>
      <c r="BG63" s="3">
        <v>227</v>
      </c>
      <c r="BH63" s="3">
        <v>148</v>
      </c>
      <c r="BI63" s="3">
        <v>115</v>
      </c>
    </row>
    <row r="64" spans="1:61" x14ac:dyDescent="0.25">
      <c r="A64" s="12" t="s">
        <v>3</v>
      </c>
      <c r="B64" s="12" t="s">
        <v>291</v>
      </c>
      <c r="C64" s="2" t="s">
        <v>231</v>
      </c>
      <c r="D64" s="2" t="s">
        <v>470</v>
      </c>
      <c r="E64" s="2" t="s">
        <v>243</v>
      </c>
      <c r="F64" s="2" t="s">
        <v>243</v>
      </c>
      <c r="G64" s="2">
        <v>2020</v>
      </c>
      <c r="H64" s="3">
        <v>182904</v>
      </c>
      <c r="I64" s="3">
        <v>27061</v>
      </c>
      <c r="J64" s="3">
        <v>22258</v>
      </c>
      <c r="K64" s="3">
        <v>20350</v>
      </c>
      <c r="L64" s="3">
        <v>21368</v>
      </c>
      <c r="M64" s="3">
        <v>20531</v>
      </c>
      <c r="N64" s="3">
        <v>18663</v>
      </c>
      <c r="O64" s="3">
        <v>15446</v>
      </c>
      <c r="P64" s="3">
        <v>10927</v>
      </c>
      <c r="Q64" s="3">
        <v>8547</v>
      </c>
      <c r="R64" s="3">
        <v>5813</v>
      </c>
      <c r="S64" s="3">
        <v>4262</v>
      </c>
      <c r="T64" s="3">
        <v>2918</v>
      </c>
      <c r="U64" s="3">
        <v>2002</v>
      </c>
      <c r="V64" s="3">
        <v>1128</v>
      </c>
      <c r="W64" s="3">
        <v>734</v>
      </c>
      <c r="X64" s="3">
        <v>504</v>
      </c>
      <c r="Y64" s="3">
        <v>392</v>
      </c>
      <c r="Z64" s="3">
        <v>91610</v>
      </c>
      <c r="AA64" s="3">
        <v>13569</v>
      </c>
      <c r="AB64" s="3">
        <v>11122</v>
      </c>
      <c r="AC64" s="3">
        <v>9621</v>
      </c>
      <c r="AD64" s="3">
        <v>10422</v>
      </c>
      <c r="AE64" s="3">
        <v>10218</v>
      </c>
      <c r="AF64" s="3">
        <v>9364</v>
      </c>
      <c r="AG64" s="3">
        <v>8015</v>
      </c>
      <c r="AH64" s="3">
        <v>5879</v>
      </c>
      <c r="AI64" s="3">
        <v>4443</v>
      </c>
      <c r="AJ64" s="3">
        <v>3038</v>
      </c>
      <c r="AK64" s="3">
        <v>2245</v>
      </c>
      <c r="AL64" s="3">
        <v>1421</v>
      </c>
      <c r="AM64" s="3">
        <v>1034</v>
      </c>
      <c r="AN64" s="3">
        <v>560</v>
      </c>
      <c r="AO64" s="3">
        <v>327</v>
      </c>
      <c r="AP64" s="3">
        <v>189</v>
      </c>
      <c r="AQ64" s="3">
        <v>143</v>
      </c>
      <c r="AR64" s="3">
        <v>91294</v>
      </c>
      <c r="AS64" s="3">
        <v>13492</v>
      </c>
      <c r="AT64" s="3">
        <v>11136</v>
      </c>
      <c r="AU64" s="3">
        <v>10729</v>
      </c>
      <c r="AV64" s="3">
        <v>10946</v>
      </c>
      <c r="AW64" s="3">
        <v>10313</v>
      </c>
      <c r="AX64" s="3">
        <v>9299</v>
      </c>
      <c r="AY64" s="3">
        <v>7431</v>
      </c>
      <c r="AZ64" s="3">
        <v>5048</v>
      </c>
      <c r="BA64" s="3">
        <v>4104</v>
      </c>
      <c r="BB64" s="3">
        <v>2775</v>
      </c>
      <c r="BC64" s="3">
        <v>2017</v>
      </c>
      <c r="BD64" s="3">
        <v>1497</v>
      </c>
      <c r="BE64" s="3">
        <v>968</v>
      </c>
      <c r="BF64" s="3">
        <v>568</v>
      </c>
      <c r="BG64" s="3">
        <v>407</v>
      </c>
      <c r="BH64" s="3">
        <v>315</v>
      </c>
      <c r="BI64" s="3">
        <v>249</v>
      </c>
    </row>
    <row r="65" spans="1:61" x14ac:dyDescent="0.25">
      <c r="A65" s="12" t="s">
        <v>3</v>
      </c>
      <c r="B65" s="12" t="s">
        <v>291</v>
      </c>
      <c r="C65" s="2" t="s">
        <v>174</v>
      </c>
      <c r="D65" s="2" t="s">
        <v>387</v>
      </c>
      <c r="E65" s="2" t="s">
        <v>179</v>
      </c>
      <c r="F65" s="2" t="s">
        <v>180</v>
      </c>
      <c r="G65" s="2">
        <v>2020</v>
      </c>
      <c r="H65" s="3">
        <v>30304</v>
      </c>
      <c r="I65" s="3">
        <v>5073</v>
      </c>
      <c r="J65" s="3">
        <v>4884</v>
      </c>
      <c r="K65" s="3">
        <v>4350</v>
      </c>
      <c r="L65" s="3">
        <v>3546</v>
      </c>
      <c r="M65" s="3">
        <v>2491</v>
      </c>
      <c r="N65" s="3">
        <v>1905</v>
      </c>
      <c r="O65" s="3">
        <v>1768</v>
      </c>
      <c r="P65" s="3">
        <v>1569</v>
      </c>
      <c r="Q65" s="3">
        <v>1302</v>
      </c>
      <c r="R65" s="3">
        <v>947</v>
      </c>
      <c r="S65" s="3">
        <v>647</v>
      </c>
      <c r="T65" s="3">
        <v>540</v>
      </c>
      <c r="U65" s="3">
        <v>403</v>
      </c>
      <c r="V65" s="3">
        <v>267</v>
      </c>
      <c r="W65" s="3">
        <v>290</v>
      </c>
      <c r="X65" s="3">
        <v>170</v>
      </c>
      <c r="Y65" s="3">
        <v>152</v>
      </c>
      <c r="Z65" s="3">
        <v>15112</v>
      </c>
      <c r="AA65" s="3">
        <v>2520</v>
      </c>
      <c r="AB65" s="3">
        <v>2468</v>
      </c>
      <c r="AC65" s="3">
        <v>2240</v>
      </c>
      <c r="AD65" s="3">
        <v>1850</v>
      </c>
      <c r="AE65" s="3">
        <v>1300</v>
      </c>
      <c r="AF65" s="3">
        <v>922</v>
      </c>
      <c r="AG65" s="3">
        <v>838</v>
      </c>
      <c r="AH65" s="3">
        <v>745</v>
      </c>
      <c r="AI65" s="3">
        <v>678</v>
      </c>
      <c r="AJ65" s="3">
        <v>459</v>
      </c>
      <c r="AK65" s="3">
        <v>329</v>
      </c>
      <c r="AL65" s="3">
        <v>263</v>
      </c>
      <c r="AM65" s="3">
        <v>170</v>
      </c>
      <c r="AN65" s="3">
        <v>126</v>
      </c>
      <c r="AO65" s="3">
        <v>98</v>
      </c>
      <c r="AP65" s="3">
        <v>61</v>
      </c>
      <c r="AQ65" s="3">
        <v>45</v>
      </c>
      <c r="AR65" s="3">
        <v>15192</v>
      </c>
      <c r="AS65" s="3">
        <v>2553</v>
      </c>
      <c r="AT65" s="3">
        <v>2416</v>
      </c>
      <c r="AU65" s="3">
        <v>2110</v>
      </c>
      <c r="AV65" s="3">
        <v>1696</v>
      </c>
      <c r="AW65" s="3">
        <v>1191</v>
      </c>
      <c r="AX65" s="3">
        <v>983</v>
      </c>
      <c r="AY65" s="3">
        <v>930</v>
      </c>
      <c r="AZ65" s="3">
        <v>824</v>
      </c>
      <c r="BA65" s="3">
        <v>624</v>
      </c>
      <c r="BB65" s="3">
        <v>488</v>
      </c>
      <c r="BC65" s="3">
        <v>318</v>
      </c>
      <c r="BD65" s="3">
        <v>277</v>
      </c>
      <c r="BE65" s="3">
        <v>233</v>
      </c>
      <c r="BF65" s="3">
        <v>141</v>
      </c>
      <c r="BG65" s="3">
        <v>192</v>
      </c>
      <c r="BH65" s="3">
        <v>109</v>
      </c>
      <c r="BI65" s="3">
        <v>107</v>
      </c>
    </row>
    <row r="66" spans="1:61" x14ac:dyDescent="0.25">
      <c r="A66" s="12" t="s">
        <v>3</v>
      </c>
      <c r="B66" s="12" t="s">
        <v>291</v>
      </c>
      <c r="C66" s="2" t="s">
        <v>114</v>
      </c>
      <c r="D66" s="2" t="s">
        <v>313</v>
      </c>
      <c r="E66" s="2" t="s">
        <v>125</v>
      </c>
      <c r="F66" s="2" t="s">
        <v>125</v>
      </c>
      <c r="G66" s="2">
        <v>2020</v>
      </c>
      <c r="H66" s="3">
        <v>116408</v>
      </c>
      <c r="I66" s="3">
        <v>16304</v>
      </c>
      <c r="J66" s="3">
        <v>14758</v>
      </c>
      <c r="K66" s="3">
        <v>15105</v>
      </c>
      <c r="L66" s="3">
        <v>14487</v>
      </c>
      <c r="M66" s="3">
        <v>10998</v>
      </c>
      <c r="N66" s="3">
        <v>8737</v>
      </c>
      <c r="O66" s="3">
        <v>7162</v>
      </c>
      <c r="P66" s="3">
        <v>6560</v>
      </c>
      <c r="Q66" s="3">
        <v>5672</v>
      </c>
      <c r="R66" s="3">
        <v>4423</v>
      </c>
      <c r="S66" s="3">
        <v>3502</v>
      </c>
      <c r="T66" s="3">
        <v>2990</v>
      </c>
      <c r="U66" s="3">
        <v>2234</v>
      </c>
      <c r="V66" s="3">
        <v>1480</v>
      </c>
      <c r="W66" s="3">
        <v>985</v>
      </c>
      <c r="X66" s="3">
        <v>566</v>
      </c>
      <c r="Y66" s="3">
        <v>445</v>
      </c>
      <c r="Z66" s="3">
        <v>58292</v>
      </c>
      <c r="AA66" s="3">
        <v>8333</v>
      </c>
      <c r="AB66" s="3">
        <v>7410</v>
      </c>
      <c r="AC66" s="3">
        <v>7497</v>
      </c>
      <c r="AD66" s="3">
        <v>7353</v>
      </c>
      <c r="AE66" s="3">
        <v>5673</v>
      </c>
      <c r="AF66" s="3">
        <v>4408</v>
      </c>
      <c r="AG66" s="3">
        <v>3553</v>
      </c>
      <c r="AH66" s="3">
        <v>3202</v>
      </c>
      <c r="AI66" s="3">
        <v>2870</v>
      </c>
      <c r="AJ66" s="3">
        <v>2148</v>
      </c>
      <c r="AK66" s="3">
        <v>1680</v>
      </c>
      <c r="AL66" s="3">
        <v>1436</v>
      </c>
      <c r="AM66" s="3">
        <v>1103</v>
      </c>
      <c r="AN66" s="3">
        <v>777</v>
      </c>
      <c r="AO66" s="3">
        <v>465</v>
      </c>
      <c r="AP66" s="3">
        <v>234</v>
      </c>
      <c r="AQ66" s="3">
        <v>150</v>
      </c>
      <c r="AR66" s="3">
        <v>58116</v>
      </c>
      <c r="AS66" s="3">
        <v>7971</v>
      </c>
      <c r="AT66" s="3">
        <v>7348</v>
      </c>
      <c r="AU66" s="3">
        <v>7608</v>
      </c>
      <c r="AV66" s="3">
        <v>7134</v>
      </c>
      <c r="AW66" s="3">
        <v>5325</v>
      </c>
      <c r="AX66" s="3">
        <v>4329</v>
      </c>
      <c r="AY66" s="3">
        <v>3609</v>
      </c>
      <c r="AZ66" s="3">
        <v>3358</v>
      </c>
      <c r="BA66" s="3">
        <v>2802</v>
      </c>
      <c r="BB66" s="3">
        <v>2275</v>
      </c>
      <c r="BC66" s="3">
        <v>1822</v>
      </c>
      <c r="BD66" s="3">
        <v>1554</v>
      </c>
      <c r="BE66" s="3">
        <v>1131</v>
      </c>
      <c r="BF66" s="3">
        <v>703</v>
      </c>
      <c r="BG66" s="3">
        <v>520</v>
      </c>
      <c r="BH66" s="3">
        <v>332</v>
      </c>
      <c r="BI66" s="3">
        <v>295</v>
      </c>
    </row>
    <row r="67" spans="1:61" x14ac:dyDescent="0.25">
      <c r="A67" s="12" t="s">
        <v>3</v>
      </c>
      <c r="B67" s="12" t="s">
        <v>291</v>
      </c>
      <c r="C67" s="2" t="s">
        <v>114</v>
      </c>
      <c r="D67" s="2" t="s">
        <v>313</v>
      </c>
      <c r="E67" s="2" t="s">
        <v>125</v>
      </c>
      <c r="F67" s="2" t="s">
        <v>126</v>
      </c>
      <c r="G67" s="2">
        <v>2020</v>
      </c>
      <c r="H67" s="3">
        <v>48700</v>
      </c>
      <c r="I67" s="3">
        <v>6106</v>
      </c>
      <c r="J67" s="3">
        <v>5484</v>
      </c>
      <c r="K67" s="3">
        <v>6690</v>
      </c>
      <c r="L67" s="3">
        <v>7498</v>
      </c>
      <c r="M67" s="3">
        <v>4966</v>
      </c>
      <c r="N67" s="3">
        <v>3372</v>
      </c>
      <c r="O67" s="3">
        <v>2597</v>
      </c>
      <c r="P67" s="3">
        <v>2574</v>
      </c>
      <c r="Q67" s="3">
        <v>2713</v>
      </c>
      <c r="R67" s="3">
        <v>2354</v>
      </c>
      <c r="S67" s="3">
        <v>1724</v>
      </c>
      <c r="T67" s="3">
        <v>1235</v>
      </c>
      <c r="U67" s="3">
        <v>692</v>
      </c>
      <c r="V67" s="3">
        <v>299</v>
      </c>
      <c r="W67" s="3">
        <v>196</v>
      </c>
      <c r="X67" s="3">
        <v>112</v>
      </c>
      <c r="Y67" s="3">
        <v>88</v>
      </c>
      <c r="Z67" s="3">
        <v>24568</v>
      </c>
      <c r="AA67" s="3">
        <v>3023</v>
      </c>
      <c r="AB67" s="3">
        <v>2753</v>
      </c>
      <c r="AC67" s="3">
        <v>3340</v>
      </c>
      <c r="AD67" s="3">
        <v>3756</v>
      </c>
      <c r="AE67" s="3">
        <v>2642</v>
      </c>
      <c r="AF67" s="3">
        <v>1746</v>
      </c>
      <c r="AG67" s="3">
        <v>1273</v>
      </c>
      <c r="AH67" s="3">
        <v>1057</v>
      </c>
      <c r="AI67" s="3">
        <v>1227</v>
      </c>
      <c r="AJ67" s="3">
        <v>1229</v>
      </c>
      <c r="AK67" s="3">
        <v>939</v>
      </c>
      <c r="AL67" s="3">
        <v>767</v>
      </c>
      <c r="AM67" s="3">
        <v>456</v>
      </c>
      <c r="AN67" s="3">
        <v>172</v>
      </c>
      <c r="AO67" s="3">
        <v>102</v>
      </c>
      <c r="AP67" s="3">
        <v>52</v>
      </c>
      <c r="AQ67" s="3">
        <v>34</v>
      </c>
      <c r="AR67" s="3">
        <v>24132</v>
      </c>
      <c r="AS67" s="3">
        <v>3083</v>
      </c>
      <c r="AT67" s="3">
        <v>2731</v>
      </c>
      <c r="AU67" s="3">
        <v>3350</v>
      </c>
      <c r="AV67" s="3">
        <v>3742</v>
      </c>
      <c r="AW67" s="3">
        <v>2324</v>
      </c>
      <c r="AX67" s="3">
        <v>1626</v>
      </c>
      <c r="AY67" s="3">
        <v>1324</v>
      </c>
      <c r="AZ67" s="3">
        <v>1517</v>
      </c>
      <c r="BA67" s="3">
        <v>1486</v>
      </c>
      <c r="BB67" s="3">
        <v>1125</v>
      </c>
      <c r="BC67" s="3">
        <v>785</v>
      </c>
      <c r="BD67" s="3">
        <v>468</v>
      </c>
      <c r="BE67" s="3">
        <v>236</v>
      </c>
      <c r="BF67" s="3">
        <v>127</v>
      </c>
      <c r="BG67" s="3">
        <v>94</v>
      </c>
      <c r="BH67" s="3">
        <v>60</v>
      </c>
      <c r="BI67" s="3">
        <v>54</v>
      </c>
    </row>
    <row r="68" spans="1:61" x14ac:dyDescent="0.25">
      <c r="A68" s="12" t="s">
        <v>3</v>
      </c>
      <c r="B68" s="12" t="s">
        <v>291</v>
      </c>
      <c r="C68" s="2" t="s">
        <v>114</v>
      </c>
      <c r="D68" s="2" t="s">
        <v>313</v>
      </c>
      <c r="E68" s="2" t="s">
        <v>127</v>
      </c>
      <c r="F68" s="2" t="s">
        <v>127</v>
      </c>
      <c r="G68" s="2">
        <v>2020</v>
      </c>
      <c r="H68" s="3">
        <v>94883</v>
      </c>
      <c r="I68" s="3">
        <v>17397</v>
      </c>
      <c r="J68" s="3">
        <v>15071</v>
      </c>
      <c r="K68" s="3">
        <v>12736</v>
      </c>
      <c r="L68" s="3">
        <v>9998</v>
      </c>
      <c r="M68" s="3">
        <v>7186</v>
      </c>
      <c r="N68" s="3">
        <v>5977</v>
      </c>
      <c r="O68" s="3">
        <v>5248</v>
      </c>
      <c r="P68" s="3">
        <v>4754</v>
      </c>
      <c r="Q68" s="3">
        <v>4058</v>
      </c>
      <c r="R68" s="3">
        <v>3268</v>
      </c>
      <c r="S68" s="3">
        <v>2519</v>
      </c>
      <c r="T68" s="3">
        <v>2102</v>
      </c>
      <c r="U68" s="3">
        <v>1645</v>
      </c>
      <c r="V68" s="3">
        <v>1135</v>
      </c>
      <c r="W68" s="3">
        <v>913</v>
      </c>
      <c r="X68" s="3">
        <v>523</v>
      </c>
      <c r="Y68" s="3">
        <v>353</v>
      </c>
      <c r="Z68" s="3">
        <v>47831</v>
      </c>
      <c r="AA68" s="3">
        <v>8740</v>
      </c>
      <c r="AB68" s="3">
        <v>7522</v>
      </c>
      <c r="AC68" s="3">
        <v>6435</v>
      </c>
      <c r="AD68" s="3">
        <v>5077</v>
      </c>
      <c r="AE68" s="3">
        <v>3685</v>
      </c>
      <c r="AF68" s="3">
        <v>3015</v>
      </c>
      <c r="AG68" s="3">
        <v>2631</v>
      </c>
      <c r="AH68" s="3">
        <v>2385</v>
      </c>
      <c r="AI68" s="3">
        <v>2070</v>
      </c>
      <c r="AJ68" s="3">
        <v>1692</v>
      </c>
      <c r="AK68" s="3">
        <v>1313</v>
      </c>
      <c r="AL68" s="3">
        <v>1010</v>
      </c>
      <c r="AM68" s="3">
        <v>760</v>
      </c>
      <c r="AN68" s="3">
        <v>597</v>
      </c>
      <c r="AO68" s="3">
        <v>475</v>
      </c>
      <c r="AP68" s="3">
        <v>274</v>
      </c>
      <c r="AQ68" s="3">
        <v>150</v>
      </c>
      <c r="AR68" s="3">
        <v>47052</v>
      </c>
      <c r="AS68" s="3">
        <v>8657</v>
      </c>
      <c r="AT68" s="3">
        <v>7549</v>
      </c>
      <c r="AU68" s="3">
        <v>6301</v>
      </c>
      <c r="AV68" s="3">
        <v>4921</v>
      </c>
      <c r="AW68" s="3">
        <v>3501</v>
      </c>
      <c r="AX68" s="3">
        <v>2962</v>
      </c>
      <c r="AY68" s="3">
        <v>2617</v>
      </c>
      <c r="AZ68" s="3">
        <v>2369</v>
      </c>
      <c r="BA68" s="3">
        <v>1988</v>
      </c>
      <c r="BB68" s="3">
        <v>1576</v>
      </c>
      <c r="BC68" s="3">
        <v>1206</v>
      </c>
      <c r="BD68" s="3">
        <v>1092</v>
      </c>
      <c r="BE68" s="3">
        <v>885</v>
      </c>
      <c r="BF68" s="3">
        <v>538</v>
      </c>
      <c r="BG68" s="3">
        <v>438</v>
      </c>
      <c r="BH68" s="3">
        <v>249</v>
      </c>
      <c r="BI68" s="3">
        <v>203</v>
      </c>
    </row>
    <row r="69" spans="1:61" x14ac:dyDescent="0.25">
      <c r="A69" s="12" t="s">
        <v>3</v>
      </c>
      <c r="B69" s="12" t="s">
        <v>291</v>
      </c>
      <c r="C69" s="2" t="s">
        <v>253</v>
      </c>
      <c r="D69" s="2" t="s">
        <v>498</v>
      </c>
      <c r="E69" s="2" t="s">
        <v>261</v>
      </c>
      <c r="F69" s="2" t="s">
        <v>262</v>
      </c>
      <c r="G69" s="2">
        <v>2020</v>
      </c>
      <c r="H69" s="3">
        <v>68441</v>
      </c>
      <c r="I69" s="3">
        <v>13605</v>
      </c>
      <c r="J69" s="3">
        <v>10951</v>
      </c>
      <c r="K69" s="3">
        <v>9044</v>
      </c>
      <c r="L69" s="3">
        <v>6696</v>
      </c>
      <c r="M69" s="3">
        <v>5664</v>
      </c>
      <c r="N69" s="3">
        <v>4521</v>
      </c>
      <c r="O69" s="3">
        <v>3759</v>
      </c>
      <c r="P69" s="3">
        <v>3239</v>
      </c>
      <c r="Q69" s="3">
        <v>2758</v>
      </c>
      <c r="R69" s="3">
        <v>2090</v>
      </c>
      <c r="S69" s="3">
        <v>1630</v>
      </c>
      <c r="T69" s="3">
        <v>1148</v>
      </c>
      <c r="U69" s="3">
        <v>1122</v>
      </c>
      <c r="V69" s="3">
        <v>826</v>
      </c>
      <c r="W69" s="3">
        <v>571</v>
      </c>
      <c r="X69" s="3">
        <v>403</v>
      </c>
      <c r="Y69" s="3">
        <v>414</v>
      </c>
      <c r="Z69" s="3">
        <v>33427</v>
      </c>
      <c r="AA69" s="3">
        <v>6972</v>
      </c>
      <c r="AB69" s="3">
        <v>5731</v>
      </c>
      <c r="AC69" s="3">
        <v>4620</v>
      </c>
      <c r="AD69" s="3">
        <v>3329</v>
      </c>
      <c r="AE69" s="3">
        <v>2683</v>
      </c>
      <c r="AF69" s="3">
        <v>2170</v>
      </c>
      <c r="AG69" s="3">
        <v>1707</v>
      </c>
      <c r="AH69" s="3">
        <v>1456</v>
      </c>
      <c r="AI69" s="3">
        <v>1253</v>
      </c>
      <c r="AJ69" s="3">
        <v>944</v>
      </c>
      <c r="AK69" s="3">
        <v>725</v>
      </c>
      <c r="AL69" s="3">
        <v>501</v>
      </c>
      <c r="AM69" s="3">
        <v>416</v>
      </c>
      <c r="AN69" s="3">
        <v>327</v>
      </c>
      <c r="AO69" s="3">
        <v>255</v>
      </c>
      <c r="AP69" s="3">
        <v>161</v>
      </c>
      <c r="AQ69" s="3">
        <v>177</v>
      </c>
      <c r="AR69" s="3">
        <v>35014</v>
      </c>
      <c r="AS69" s="3">
        <v>6633</v>
      </c>
      <c r="AT69" s="3">
        <v>5220</v>
      </c>
      <c r="AU69" s="3">
        <v>4424</v>
      </c>
      <c r="AV69" s="3">
        <v>3367</v>
      </c>
      <c r="AW69" s="3">
        <v>2981</v>
      </c>
      <c r="AX69" s="3">
        <v>2351</v>
      </c>
      <c r="AY69" s="3">
        <v>2052</v>
      </c>
      <c r="AZ69" s="3">
        <v>1783</v>
      </c>
      <c r="BA69" s="3">
        <v>1505</v>
      </c>
      <c r="BB69" s="3">
        <v>1146</v>
      </c>
      <c r="BC69" s="3">
        <v>905</v>
      </c>
      <c r="BD69" s="3">
        <v>647</v>
      </c>
      <c r="BE69" s="3">
        <v>706</v>
      </c>
      <c r="BF69" s="3">
        <v>499</v>
      </c>
      <c r="BG69" s="3">
        <v>316</v>
      </c>
      <c r="BH69" s="3">
        <v>242</v>
      </c>
      <c r="BI69" s="3">
        <v>237</v>
      </c>
    </row>
    <row r="70" spans="1:61" x14ac:dyDescent="0.25">
      <c r="A70" s="12" t="s">
        <v>3</v>
      </c>
      <c r="B70" s="12" t="s">
        <v>291</v>
      </c>
      <c r="C70" s="2" t="s">
        <v>253</v>
      </c>
      <c r="D70" s="2" t="s">
        <v>498</v>
      </c>
      <c r="E70" s="2" t="s">
        <v>261</v>
      </c>
      <c r="F70" s="2" t="s">
        <v>263</v>
      </c>
      <c r="G70" s="2">
        <v>2020</v>
      </c>
      <c r="H70" s="3">
        <v>37269</v>
      </c>
      <c r="I70" s="3">
        <v>7948</v>
      </c>
      <c r="J70" s="3">
        <v>6262</v>
      </c>
      <c r="K70" s="3">
        <v>4654</v>
      </c>
      <c r="L70" s="3">
        <v>3405</v>
      </c>
      <c r="M70" s="3">
        <v>3134</v>
      </c>
      <c r="N70" s="3">
        <v>2604</v>
      </c>
      <c r="O70" s="3">
        <v>2044</v>
      </c>
      <c r="P70" s="3">
        <v>1541</v>
      </c>
      <c r="Q70" s="3">
        <v>1439</v>
      </c>
      <c r="R70" s="3">
        <v>1152</v>
      </c>
      <c r="S70" s="3">
        <v>837</v>
      </c>
      <c r="T70" s="3">
        <v>552</v>
      </c>
      <c r="U70" s="3">
        <v>553</v>
      </c>
      <c r="V70" s="3">
        <v>430</v>
      </c>
      <c r="W70" s="3">
        <v>295</v>
      </c>
      <c r="X70" s="3">
        <v>208</v>
      </c>
      <c r="Y70" s="3">
        <v>211</v>
      </c>
      <c r="Z70" s="3">
        <v>17970</v>
      </c>
      <c r="AA70" s="3">
        <v>3974</v>
      </c>
      <c r="AB70" s="3">
        <v>3115</v>
      </c>
      <c r="AC70" s="3">
        <v>2380</v>
      </c>
      <c r="AD70" s="3">
        <v>1629</v>
      </c>
      <c r="AE70" s="3">
        <v>1513</v>
      </c>
      <c r="AF70" s="3">
        <v>1212</v>
      </c>
      <c r="AG70" s="3">
        <v>958</v>
      </c>
      <c r="AH70" s="3">
        <v>680</v>
      </c>
      <c r="AI70" s="3">
        <v>627</v>
      </c>
      <c r="AJ70" s="3">
        <v>503</v>
      </c>
      <c r="AK70" s="3">
        <v>397</v>
      </c>
      <c r="AL70" s="3">
        <v>258</v>
      </c>
      <c r="AM70" s="3">
        <v>210</v>
      </c>
      <c r="AN70" s="3">
        <v>186</v>
      </c>
      <c r="AO70" s="3">
        <v>142</v>
      </c>
      <c r="AP70" s="3">
        <v>89</v>
      </c>
      <c r="AQ70" s="3">
        <v>97</v>
      </c>
      <c r="AR70" s="3">
        <v>19299</v>
      </c>
      <c r="AS70" s="3">
        <v>3974</v>
      </c>
      <c r="AT70" s="3">
        <v>3147</v>
      </c>
      <c r="AU70" s="3">
        <v>2274</v>
      </c>
      <c r="AV70" s="3">
        <v>1776</v>
      </c>
      <c r="AW70" s="3">
        <v>1621</v>
      </c>
      <c r="AX70" s="3">
        <v>1392</v>
      </c>
      <c r="AY70" s="3">
        <v>1086</v>
      </c>
      <c r="AZ70" s="3">
        <v>861</v>
      </c>
      <c r="BA70" s="3">
        <v>812</v>
      </c>
      <c r="BB70" s="3">
        <v>649</v>
      </c>
      <c r="BC70" s="3">
        <v>440</v>
      </c>
      <c r="BD70" s="3">
        <v>294</v>
      </c>
      <c r="BE70" s="3">
        <v>343</v>
      </c>
      <c r="BF70" s="3">
        <v>244</v>
      </c>
      <c r="BG70" s="3">
        <v>153</v>
      </c>
      <c r="BH70" s="3">
        <v>119</v>
      </c>
      <c r="BI70" s="3">
        <v>114</v>
      </c>
    </row>
    <row r="71" spans="1:61" x14ac:dyDescent="0.25">
      <c r="A71" s="12" t="s">
        <v>3</v>
      </c>
      <c r="B71" s="12" t="s">
        <v>291</v>
      </c>
      <c r="C71" s="2" t="s">
        <v>138</v>
      </c>
      <c r="D71" s="2" t="s">
        <v>335</v>
      </c>
      <c r="E71" s="2" t="s">
        <v>149</v>
      </c>
      <c r="F71" s="2" t="s">
        <v>150</v>
      </c>
      <c r="G71" s="2">
        <v>2020</v>
      </c>
      <c r="H71" s="3">
        <v>126553</v>
      </c>
      <c r="I71" s="3">
        <v>24123</v>
      </c>
      <c r="J71" s="3">
        <v>21178</v>
      </c>
      <c r="K71" s="3">
        <v>16983</v>
      </c>
      <c r="L71" s="3">
        <v>12539</v>
      </c>
      <c r="M71" s="3">
        <v>10377</v>
      </c>
      <c r="N71" s="3">
        <v>8192</v>
      </c>
      <c r="O71" s="3">
        <v>6335</v>
      </c>
      <c r="P71" s="3">
        <v>6001</v>
      </c>
      <c r="Q71" s="3">
        <v>5230</v>
      </c>
      <c r="R71" s="3">
        <v>4176</v>
      </c>
      <c r="S71" s="3">
        <v>3084</v>
      </c>
      <c r="T71" s="3">
        <v>2415</v>
      </c>
      <c r="U71" s="3">
        <v>2017</v>
      </c>
      <c r="V71" s="3">
        <v>1501</v>
      </c>
      <c r="W71" s="3">
        <v>1188</v>
      </c>
      <c r="X71" s="3">
        <v>651</v>
      </c>
      <c r="Y71" s="3">
        <v>563</v>
      </c>
      <c r="Z71" s="3">
        <v>62539</v>
      </c>
      <c r="AA71" s="3">
        <v>12024</v>
      </c>
      <c r="AB71" s="3">
        <v>10737</v>
      </c>
      <c r="AC71" s="3">
        <v>8702</v>
      </c>
      <c r="AD71" s="3">
        <v>6446</v>
      </c>
      <c r="AE71" s="3">
        <v>5289</v>
      </c>
      <c r="AF71" s="3">
        <v>4088</v>
      </c>
      <c r="AG71" s="3">
        <v>2983</v>
      </c>
      <c r="AH71" s="3">
        <v>2742</v>
      </c>
      <c r="AI71" s="3">
        <v>2456</v>
      </c>
      <c r="AJ71" s="3">
        <v>2006</v>
      </c>
      <c r="AK71" s="3">
        <v>1482</v>
      </c>
      <c r="AL71" s="3">
        <v>1105</v>
      </c>
      <c r="AM71" s="3">
        <v>819</v>
      </c>
      <c r="AN71" s="3">
        <v>664</v>
      </c>
      <c r="AO71" s="3">
        <v>498</v>
      </c>
      <c r="AP71" s="3">
        <v>288</v>
      </c>
      <c r="AQ71" s="3">
        <v>210</v>
      </c>
      <c r="AR71" s="3">
        <v>64014</v>
      </c>
      <c r="AS71" s="3">
        <v>12099</v>
      </c>
      <c r="AT71" s="3">
        <v>10441</v>
      </c>
      <c r="AU71" s="3">
        <v>8281</v>
      </c>
      <c r="AV71" s="3">
        <v>6093</v>
      </c>
      <c r="AW71" s="3">
        <v>5088</v>
      </c>
      <c r="AX71" s="3">
        <v>4104</v>
      </c>
      <c r="AY71" s="3">
        <v>3352</v>
      </c>
      <c r="AZ71" s="3">
        <v>3259</v>
      </c>
      <c r="BA71" s="3">
        <v>2774</v>
      </c>
      <c r="BB71" s="3">
        <v>2170</v>
      </c>
      <c r="BC71" s="3">
        <v>1602</v>
      </c>
      <c r="BD71" s="3">
        <v>1310</v>
      </c>
      <c r="BE71" s="3">
        <v>1198</v>
      </c>
      <c r="BF71" s="3">
        <v>837</v>
      </c>
      <c r="BG71" s="3">
        <v>690</v>
      </c>
      <c r="BH71" s="3">
        <v>363</v>
      </c>
      <c r="BI71" s="3">
        <v>353</v>
      </c>
    </row>
    <row r="72" spans="1:61" x14ac:dyDescent="0.25">
      <c r="A72" s="12" t="s">
        <v>3</v>
      </c>
      <c r="B72" s="12" t="s">
        <v>291</v>
      </c>
      <c r="C72" s="2" t="s">
        <v>138</v>
      </c>
      <c r="D72" s="2" t="s">
        <v>335</v>
      </c>
      <c r="E72" s="2" t="s">
        <v>149</v>
      </c>
      <c r="F72" s="2" t="s">
        <v>151</v>
      </c>
      <c r="G72" s="2">
        <v>2020</v>
      </c>
      <c r="H72" s="3">
        <v>131715</v>
      </c>
      <c r="I72" s="3">
        <v>25883</v>
      </c>
      <c r="J72" s="3">
        <v>22323</v>
      </c>
      <c r="K72" s="3">
        <v>17989</v>
      </c>
      <c r="L72" s="3">
        <v>13324</v>
      </c>
      <c r="M72" s="3">
        <v>10676</v>
      </c>
      <c r="N72" s="3">
        <v>8383</v>
      </c>
      <c r="O72" s="3">
        <v>6787</v>
      </c>
      <c r="P72" s="3">
        <v>6346</v>
      </c>
      <c r="Q72" s="3">
        <v>5566</v>
      </c>
      <c r="R72" s="3">
        <v>4076</v>
      </c>
      <c r="S72" s="3">
        <v>2888</v>
      </c>
      <c r="T72" s="3">
        <v>2117</v>
      </c>
      <c r="U72" s="3">
        <v>1923</v>
      </c>
      <c r="V72" s="3">
        <v>1322</v>
      </c>
      <c r="W72" s="3">
        <v>1044</v>
      </c>
      <c r="X72" s="3">
        <v>572</v>
      </c>
      <c r="Y72" s="3">
        <v>496</v>
      </c>
      <c r="Z72" s="3">
        <v>65367</v>
      </c>
      <c r="AA72" s="3">
        <v>12839</v>
      </c>
      <c r="AB72" s="3">
        <v>11122</v>
      </c>
      <c r="AC72" s="3">
        <v>9302</v>
      </c>
      <c r="AD72" s="3">
        <v>6725</v>
      </c>
      <c r="AE72" s="3">
        <v>5482</v>
      </c>
      <c r="AF72" s="3">
        <v>4167</v>
      </c>
      <c r="AG72" s="3">
        <v>3293</v>
      </c>
      <c r="AH72" s="3">
        <v>3025</v>
      </c>
      <c r="AI72" s="3">
        <v>2682</v>
      </c>
      <c r="AJ72" s="3">
        <v>2082</v>
      </c>
      <c r="AK72" s="3">
        <v>1434</v>
      </c>
      <c r="AL72" s="3">
        <v>995</v>
      </c>
      <c r="AM72" s="3">
        <v>758</v>
      </c>
      <c r="AN72" s="3">
        <v>586</v>
      </c>
      <c r="AO72" s="3">
        <v>437</v>
      </c>
      <c r="AP72" s="3">
        <v>254</v>
      </c>
      <c r="AQ72" s="3">
        <v>184</v>
      </c>
      <c r="AR72" s="3">
        <v>66348</v>
      </c>
      <c r="AS72" s="3">
        <v>13044</v>
      </c>
      <c r="AT72" s="3">
        <v>11201</v>
      </c>
      <c r="AU72" s="3">
        <v>8687</v>
      </c>
      <c r="AV72" s="3">
        <v>6599</v>
      </c>
      <c r="AW72" s="3">
        <v>5194</v>
      </c>
      <c r="AX72" s="3">
        <v>4216</v>
      </c>
      <c r="AY72" s="3">
        <v>3494</v>
      </c>
      <c r="AZ72" s="3">
        <v>3321</v>
      </c>
      <c r="BA72" s="3">
        <v>2884</v>
      </c>
      <c r="BB72" s="3">
        <v>1994</v>
      </c>
      <c r="BC72" s="3">
        <v>1454</v>
      </c>
      <c r="BD72" s="3">
        <v>1122</v>
      </c>
      <c r="BE72" s="3">
        <v>1165</v>
      </c>
      <c r="BF72" s="3">
        <v>736</v>
      </c>
      <c r="BG72" s="3">
        <v>607</v>
      </c>
      <c r="BH72" s="3">
        <v>318</v>
      </c>
      <c r="BI72" s="3">
        <v>312</v>
      </c>
    </row>
    <row r="73" spans="1:61" x14ac:dyDescent="0.25">
      <c r="A73" s="12" t="s">
        <v>3</v>
      </c>
      <c r="B73" s="12" t="s">
        <v>291</v>
      </c>
      <c r="C73" s="2" t="s">
        <v>138</v>
      </c>
      <c r="D73" s="2" t="s">
        <v>335</v>
      </c>
      <c r="E73" s="2" t="s">
        <v>149</v>
      </c>
      <c r="F73" s="2" t="s">
        <v>149</v>
      </c>
      <c r="G73" s="2">
        <v>2020</v>
      </c>
      <c r="H73" s="3">
        <v>172191</v>
      </c>
      <c r="I73" s="3">
        <v>31421</v>
      </c>
      <c r="J73" s="3">
        <v>27353</v>
      </c>
      <c r="K73" s="3">
        <v>22084</v>
      </c>
      <c r="L73" s="3">
        <v>17660</v>
      </c>
      <c r="M73" s="3">
        <v>14915</v>
      </c>
      <c r="N73" s="3">
        <v>12065</v>
      </c>
      <c r="O73" s="3">
        <v>9654</v>
      </c>
      <c r="P73" s="3">
        <v>8697</v>
      </c>
      <c r="Q73" s="3">
        <v>7617</v>
      </c>
      <c r="R73" s="3">
        <v>5781</v>
      </c>
      <c r="S73" s="3">
        <v>4132</v>
      </c>
      <c r="T73" s="3">
        <v>3441</v>
      </c>
      <c r="U73" s="3">
        <v>2735</v>
      </c>
      <c r="V73" s="3">
        <v>1781</v>
      </c>
      <c r="W73" s="3">
        <v>1410</v>
      </c>
      <c r="X73" s="3">
        <v>773</v>
      </c>
      <c r="Y73" s="3">
        <v>672</v>
      </c>
      <c r="Z73" s="3">
        <v>84989</v>
      </c>
      <c r="AA73" s="3">
        <v>15802</v>
      </c>
      <c r="AB73" s="3">
        <v>13716</v>
      </c>
      <c r="AC73" s="3">
        <v>11184</v>
      </c>
      <c r="AD73" s="3">
        <v>8830</v>
      </c>
      <c r="AE73" s="3">
        <v>7404</v>
      </c>
      <c r="AF73" s="3">
        <v>5995</v>
      </c>
      <c r="AG73" s="3">
        <v>4719</v>
      </c>
      <c r="AH73" s="3">
        <v>4112</v>
      </c>
      <c r="AI73" s="3">
        <v>3651</v>
      </c>
      <c r="AJ73" s="3">
        <v>2953</v>
      </c>
      <c r="AK73" s="3">
        <v>2035</v>
      </c>
      <c r="AL73" s="3">
        <v>1556</v>
      </c>
      <c r="AM73" s="3">
        <v>1100</v>
      </c>
      <c r="AN73" s="3">
        <v>775</v>
      </c>
      <c r="AO73" s="3">
        <v>576</v>
      </c>
      <c r="AP73" s="3">
        <v>336</v>
      </c>
      <c r="AQ73" s="3">
        <v>245</v>
      </c>
      <c r="AR73" s="3">
        <v>87202</v>
      </c>
      <c r="AS73" s="3">
        <v>15619</v>
      </c>
      <c r="AT73" s="3">
        <v>13637</v>
      </c>
      <c r="AU73" s="3">
        <v>10900</v>
      </c>
      <c r="AV73" s="3">
        <v>8830</v>
      </c>
      <c r="AW73" s="3">
        <v>7511</v>
      </c>
      <c r="AX73" s="3">
        <v>6070</v>
      </c>
      <c r="AY73" s="3">
        <v>4935</v>
      </c>
      <c r="AZ73" s="3">
        <v>4585</v>
      </c>
      <c r="BA73" s="3">
        <v>3966</v>
      </c>
      <c r="BB73" s="3">
        <v>2828</v>
      </c>
      <c r="BC73" s="3">
        <v>2097</v>
      </c>
      <c r="BD73" s="3">
        <v>1885</v>
      </c>
      <c r="BE73" s="3">
        <v>1635</v>
      </c>
      <c r="BF73" s="3">
        <v>1006</v>
      </c>
      <c r="BG73" s="3">
        <v>834</v>
      </c>
      <c r="BH73" s="3">
        <v>437</v>
      </c>
      <c r="BI73" s="3">
        <v>427</v>
      </c>
    </row>
    <row r="74" spans="1:61" x14ac:dyDescent="0.25">
      <c r="A74" s="12" t="s">
        <v>3</v>
      </c>
      <c r="B74" s="12" t="s">
        <v>291</v>
      </c>
      <c r="C74" s="2" t="s">
        <v>174</v>
      </c>
      <c r="D74" s="2" t="s">
        <v>387</v>
      </c>
      <c r="E74" s="2" t="s">
        <v>174</v>
      </c>
      <c r="F74" s="2" t="s">
        <v>181</v>
      </c>
      <c r="G74" s="2">
        <v>2020</v>
      </c>
      <c r="H74" s="3">
        <v>243977</v>
      </c>
      <c r="I74" s="3">
        <v>39467</v>
      </c>
      <c r="J74" s="3">
        <v>32565</v>
      </c>
      <c r="K74" s="3">
        <v>28740</v>
      </c>
      <c r="L74" s="3">
        <v>25085</v>
      </c>
      <c r="M74" s="3">
        <v>26410</v>
      </c>
      <c r="N74" s="3">
        <v>24824</v>
      </c>
      <c r="O74" s="3">
        <v>20324</v>
      </c>
      <c r="P74" s="3">
        <v>15553</v>
      </c>
      <c r="Q74" s="3">
        <v>10980</v>
      </c>
      <c r="R74" s="3">
        <v>7108</v>
      </c>
      <c r="S74" s="3">
        <v>4583</v>
      </c>
      <c r="T74" s="3">
        <v>3260</v>
      </c>
      <c r="U74" s="3">
        <v>2190</v>
      </c>
      <c r="V74" s="3">
        <v>1232</v>
      </c>
      <c r="W74" s="3">
        <v>789</v>
      </c>
      <c r="X74" s="3">
        <v>465</v>
      </c>
      <c r="Y74" s="3">
        <v>402</v>
      </c>
      <c r="Z74" s="3">
        <v>123553</v>
      </c>
      <c r="AA74" s="3">
        <v>19710</v>
      </c>
      <c r="AB74" s="3">
        <v>16231</v>
      </c>
      <c r="AC74" s="3">
        <v>13745</v>
      </c>
      <c r="AD74" s="3">
        <v>12125</v>
      </c>
      <c r="AE74" s="3">
        <v>12855</v>
      </c>
      <c r="AF74" s="3">
        <v>13025</v>
      </c>
      <c r="AG74" s="3">
        <v>11014</v>
      </c>
      <c r="AH74" s="3">
        <v>8568</v>
      </c>
      <c r="AI74" s="3">
        <v>6078</v>
      </c>
      <c r="AJ74" s="3">
        <v>3706</v>
      </c>
      <c r="AK74" s="3">
        <v>2372</v>
      </c>
      <c r="AL74" s="3">
        <v>1687</v>
      </c>
      <c r="AM74" s="3">
        <v>1133</v>
      </c>
      <c r="AN74" s="3">
        <v>637</v>
      </c>
      <c r="AO74" s="3">
        <v>368</v>
      </c>
      <c r="AP74" s="3">
        <v>174</v>
      </c>
      <c r="AQ74" s="3">
        <v>125</v>
      </c>
      <c r="AR74" s="3">
        <v>120424</v>
      </c>
      <c r="AS74" s="3">
        <v>19757</v>
      </c>
      <c r="AT74" s="3">
        <v>16334</v>
      </c>
      <c r="AU74" s="3">
        <v>14995</v>
      </c>
      <c r="AV74" s="3">
        <v>12960</v>
      </c>
      <c r="AW74" s="3">
        <v>13555</v>
      </c>
      <c r="AX74" s="3">
        <v>11799</v>
      </c>
      <c r="AY74" s="3">
        <v>9310</v>
      </c>
      <c r="AZ74" s="3">
        <v>6985</v>
      </c>
      <c r="BA74" s="3">
        <v>4902</v>
      </c>
      <c r="BB74" s="3">
        <v>3402</v>
      </c>
      <c r="BC74" s="3">
        <v>2211</v>
      </c>
      <c r="BD74" s="3">
        <v>1573</v>
      </c>
      <c r="BE74" s="3">
        <v>1057</v>
      </c>
      <c r="BF74" s="3">
        <v>595</v>
      </c>
      <c r="BG74" s="3">
        <v>421</v>
      </c>
      <c r="BH74" s="3">
        <v>291</v>
      </c>
      <c r="BI74" s="3">
        <v>277</v>
      </c>
    </row>
    <row r="75" spans="1:61" x14ac:dyDescent="0.25">
      <c r="A75" s="12" t="s">
        <v>3</v>
      </c>
      <c r="B75" s="12" t="s">
        <v>291</v>
      </c>
      <c r="C75" s="2" t="s">
        <v>174</v>
      </c>
      <c r="D75" s="2" t="s">
        <v>387</v>
      </c>
      <c r="E75" s="2" t="s">
        <v>174</v>
      </c>
      <c r="F75" s="2" t="s">
        <v>182</v>
      </c>
      <c r="G75" s="2">
        <v>2020</v>
      </c>
      <c r="H75" s="3">
        <v>325610</v>
      </c>
      <c r="I75" s="3">
        <v>42452</v>
      </c>
      <c r="J75" s="3">
        <v>35254</v>
      </c>
      <c r="K75" s="3">
        <v>35844</v>
      </c>
      <c r="L75" s="3">
        <v>38703</v>
      </c>
      <c r="M75" s="3">
        <v>40564</v>
      </c>
      <c r="N75" s="3">
        <v>34916</v>
      </c>
      <c r="O75" s="3">
        <v>29674</v>
      </c>
      <c r="P75" s="3">
        <v>22830</v>
      </c>
      <c r="Q75" s="3">
        <v>16908</v>
      </c>
      <c r="R75" s="3">
        <v>9925</v>
      </c>
      <c r="S75" s="3">
        <v>6535</v>
      </c>
      <c r="T75" s="3">
        <v>4863</v>
      </c>
      <c r="U75" s="3">
        <v>3042</v>
      </c>
      <c r="V75" s="3">
        <v>1726</v>
      </c>
      <c r="W75" s="3">
        <v>1118</v>
      </c>
      <c r="X75" s="3">
        <v>672</v>
      </c>
      <c r="Y75" s="3">
        <v>584</v>
      </c>
      <c r="Z75" s="3">
        <v>158122</v>
      </c>
      <c r="AA75" s="3">
        <v>21480</v>
      </c>
      <c r="AB75" s="3">
        <v>17496</v>
      </c>
      <c r="AC75" s="3">
        <v>16497</v>
      </c>
      <c r="AD75" s="3">
        <v>17393</v>
      </c>
      <c r="AE75" s="3">
        <v>19421</v>
      </c>
      <c r="AF75" s="3">
        <v>17041</v>
      </c>
      <c r="AG75" s="3">
        <v>14424</v>
      </c>
      <c r="AH75" s="3">
        <v>11823</v>
      </c>
      <c r="AI75" s="3">
        <v>9132</v>
      </c>
      <c r="AJ75" s="3">
        <v>5343</v>
      </c>
      <c r="AK75" s="3">
        <v>3062</v>
      </c>
      <c r="AL75" s="3">
        <v>2184</v>
      </c>
      <c r="AM75" s="3">
        <v>1300</v>
      </c>
      <c r="AN75" s="3">
        <v>752</v>
      </c>
      <c r="AO75" s="3">
        <v>431</v>
      </c>
      <c r="AP75" s="3">
        <v>203</v>
      </c>
      <c r="AQ75" s="3">
        <v>140</v>
      </c>
      <c r="AR75" s="3">
        <v>167488</v>
      </c>
      <c r="AS75" s="3">
        <v>20972</v>
      </c>
      <c r="AT75" s="3">
        <v>17758</v>
      </c>
      <c r="AU75" s="3">
        <v>19347</v>
      </c>
      <c r="AV75" s="3">
        <v>21310</v>
      </c>
      <c r="AW75" s="3">
        <v>21143</v>
      </c>
      <c r="AX75" s="3">
        <v>17875</v>
      </c>
      <c r="AY75" s="3">
        <v>15250</v>
      </c>
      <c r="AZ75" s="3">
        <v>11007</v>
      </c>
      <c r="BA75" s="3">
        <v>7776</v>
      </c>
      <c r="BB75" s="3">
        <v>4582</v>
      </c>
      <c r="BC75" s="3">
        <v>3473</v>
      </c>
      <c r="BD75" s="3">
        <v>2679</v>
      </c>
      <c r="BE75" s="3">
        <v>1742</v>
      </c>
      <c r="BF75" s="3">
        <v>974</v>
      </c>
      <c r="BG75" s="3">
        <v>687</v>
      </c>
      <c r="BH75" s="3">
        <v>469</v>
      </c>
      <c r="BI75" s="3">
        <v>444</v>
      </c>
    </row>
    <row r="76" spans="1:61" x14ac:dyDescent="0.25">
      <c r="A76" s="12" t="s">
        <v>3</v>
      </c>
      <c r="B76" s="12" t="s">
        <v>291</v>
      </c>
      <c r="C76" s="2" t="s">
        <v>174</v>
      </c>
      <c r="D76" s="2" t="s">
        <v>387</v>
      </c>
      <c r="E76" s="2" t="s">
        <v>174</v>
      </c>
      <c r="F76" s="2" t="s">
        <v>183</v>
      </c>
      <c r="G76" s="2">
        <v>2020</v>
      </c>
      <c r="H76" s="3">
        <v>741866</v>
      </c>
      <c r="I76" s="3">
        <v>129825</v>
      </c>
      <c r="J76" s="3">
        <v>104843</v>
      </c>
      <c r="K76" s="3">
        <v>87080</v>
      </c>
      <c r="L76" s="3">
        <v>73295</v>
      </c>
      <c r="M76" s="3">
        <v>77720</v>
      </c>
      <c r="N76" s="3">
        <v>74184</v>
      </c>
      <c r="O76" s="3">
        <v>62280</v>
      </c>
      <c r="P76" s="3">
        <v>48251</v>
      </c>
      <c r="Q76" s="3">
        <v>33290</v>
      </c>
      <c r="R76" s="3">
        <v>20254</v>
      </c>
      <c r="S76" s="3">
        <v>12047</v>
      </c>
      <c r="T76" s="3">
        <v>7891</v>
      </c>
      <c r="U76" s="3">
        <v>4800</v>
      </c>
      <c r="V76" s="3">
        <v>2605</v>
      </c>
      <c r="W76" s="3">
        <v>1669</v>
      </c>
      <c r="X76" s="3">
        <v>984</v>
      </c>
      <c r="Y76" s="3">
        <v>848</v>
      </c>
      <c r="Z76" s="3">
        <v>376046</v>
      </c>
      <c r="AA76" s="3">
        <v>65519</v>
      </c>
      <c r="AB76" s="3">
        <v>51427</v>
      </c>
      <c r="AC76" s="3">
        <v>41509</v>
      </c>
      <c r="AD76" s="3">
        <v>34653</v>
      </c>
      <c r="AE76" s="3">
        <v>37009</v>
      </c>
      <c r="AF76" s="3">
        <v>38237</v>
      </c>
      <c r="AG76" s="3">
        <v>32941</v>
      </c>
      <c r="AH76" s="3">
        <v>27423</v>
      </c>
      <c r="AI76" s="3">
        <v>19159</v>
      </c>
      <c r="AJ76" s="3">
        <v>11729</v>
      </c>
      <c r="AK76" s="3">
        <v>6793</v>
      </c>
      <c r="AL76" s="3">
        <v>4340</v>
      </c>
      <c r="AM76" s="3">
        <v>2515</v>
      </c>
      <c r="AN76" s="3">
        <v>1359</v>
      </c>
      <c r="AO76" s="3">
        <v>788</v>
      </c>
      <c r="AP76" s="3">
        <v>378</v>
      </c>
      <c r="AQ76" s="3">
        <v>267</v>
      </c>
      <c r="AR76" s="3">
        <v>365820</v>
      </c>
      <c r="AS76" s="3">
        <v>64306</v>
      </c>
      <c r="AT76" s="3">
        <v>53416</v>
      </c>
      <c r="AU76" s="3">
        <v>45571</v>
      </c>
      <c r="AV76" s="3">
        <v>38642</v>
      </c>
      <c r="AW76" s="3">
        <v>40711</v>
      </c>
      <c r="AX76" s="3">
        <v>35947</v>
      </c>
      <c r="AY76" s="3">
        <v>29339</v>
      </c>
      <c r="AZ76" s="3">
        <v>20828</v>
      </c>
      <c r="BA76" s="3">
        <v>14131</v>
      </c>
      <c r="BB76" s="3">
        <v>8525</v>
      </c>
      <c r="BC76" s="3">
        <v>5254</v>
      </c>
      <c r="BD76" s="3">
        <v>3551</v>
      </c>
      <c r="BE76" s="3">
        <v>2285</v>
      </c>
      <c r="BF76" s="3">
        <v>1246</v>
      </c>
      <c r="BG76" s="3">
        <v>881</v>
      </c>
      <c r="BH76" s="3">
        <v>606</v>
      </c>
      <c r="BI76" s="3">
        <v>581</v>
      </c>
    </row>
    <row r="77" spans="1:61" x14ac:dyDescent="0.25">
      <c r="A77" s="12" t="s">
        <v>3</v>
      </c>
      <c r="B77" s="12" t="s">
        <v>291</v>
      </c>
      <c r="C77" s="2" t="s">
        <v>174</v>
      </c>
      <c r="D77" s="2" t="s">
        <v>387</v>
      </c>
      <c r="E77" s="2" t="s">
        <v>174</v>
      </c>
      <c r="F77" s="2" t="s">
        <v>184</v>
      </c>
      <c r="G77" s="2">
        <v>2020</v>
      </c>
      <c r="H77" s="3">
        <v>134333</v>
      </c>
      <c r="I77" s="3">
        <v>17281</v>
      </c>
      <c r="J77" s="3">
        <v>14951</v>
      </c>
      <c r="K77" s="3">
        <v>15069</v>
      </c>
      <c r="L77" s="3">
        <v>15550</v>
      </c>
      <c r="M77" s="3">
        <v>15637</v>
      </c>
      <c r="N77" s="3">
        <v>13142</v>
      </c>
      <c r="O77" s="3">
        <v>11197</v>
      </c>
      <c r="P77" s="3">
        <v>9311</v>
      </c>
      <c r="Q77" s="3">
        <v>7531</v>
      </c>
      <c r="R77" s="3">
        <v>5137</v>
      </c>
      <c r="S77" s="3">
        <v>3401</v>
      </c>
      <c r="T77" s="3">
        <v>2706</v>
      </c>
      <c r="U77" s="3">
        <v>1515</v>
      </c>
      <c r="V77" s="3">
        <v>812</v>
      </c>
      <c r="W77" s="3">
        <v>519</v>
      </c>
      <c r="X77" s="3">
        <v>308</v>
      </c>
      <c r="Y77" s="3">
        <v>266</v>
      </c>
      <c r="Z77" s="3">
        <v>65377</v>
      </c>
      <c r="AA77" s="3">
        <v>8606</v>
      </c>
      <c r="AB77" s="3">
        <v>7342</v>
      </c>
      <c r="AC77" s="3">
        <v>7084</v>
      </c>
      <c r="AD77" s="3">
        <v>7033</v>
      </c>
      <c r="AE77" s="3">
        <v>7735</v>
      </c>
      <c r="AF77" s="3">
        <v>6309</v>
      </c>
      <c r="AG77" s="3">
        <v>5191</v>
      </c>
      <c r="AH77" s="3">
        <v>4597</v>
      </c>
      <c r="AI77" s="3">
        <v>3899</v>
      </c>
      <c r="AJ77" s="3">
        <v>2813</v>
      </c>
      <c r="AK77" s="3">
        <v>1823</v>
      </c>
      <c r="AL77" s="3">
        <v>1346</v>
      </c>
      <c r="AM77" s="3">
        <v>755</v>
      </c>
      <c r="AN77" s="3">
        <v>415</v>
      </c>
      <c r="AO77" s="3">
        <v>237</v>
      </c>
      <c r="AP77" s="3">
        <v>112</v>
      </c>
      <c r="AQ77" s="3">
        <v>80</v>
      </c>
      <c r="AR77" s="3">
        <v>68956</v>
      </c>
      <c r="AS77" s="3">
        <v>8675</v>
      </c>
      <c r="AT77" s="3">
        <v>7609</v>
      </c>
      <c r="AU77" s="3">
        <v>7985</v>
      </c>
      <c r="AV77" s="3">
        <v>8517</v>
      </c>
      <c r="AW77" s="3">
        <v>7902</v>
      </c>
      <c r="AX77" s="3">
        <v>6833</v>
      </c>
      <c r="AY77" s="3">
        <v>6006</v>
      </c>
      <c r="AZ77" s="3">
        <v>4714</v>
      </c>
      <c r="BA77" s="3">
        <v>3632</v>
      </c>
      <c r="BB77" s="3">
        <v>2324</v>
      </c>
      <c r="BC77" s="3">
        <v>1578</v>
      </c>
      <c r="BD77" s="3">
        <v>1360</v>
      </c>
      <c r="BE77" s="3">
        <v>760</v>
      </c>
      <c r="BF77" s="3">
        <v>397</v>
      </c>
      <c r="BG77" s="3">
        <v>282</v>
      </c>
      <c r="BH77" s="3">
        <v>196</v>
      </c>
      <c r="BI77" s="3">
        <v>186</v>
      </c>
    </row>
    <row r="78" spans="1:61" x14ac:dyDescent="0.25">
      <c r="A78" s="12" t="s">
        <v>3</v>
      </c>
      <c r="B78" s="12" t="s">
        <v>291</v>
      </c>
      <c r="C78" s="2" t="s">
        <v>174</v>
      </c>
      <c r="D78" s="2" t="s">
        <v>387</v>
      </c>
      <c r="E78" s="2" t="s">
        <v>174</v>
      </c>
      <c r="F78" s="2" t="s">
        <v>185</v>
      </c>
      <c r="G78" s="2">
        <v>2020</v>
      </c>
      <c r="H78" s="3">
        <v>566241</v>
      </c>
      <c r="I78" s="3">
        <v>90389</v>
      </c>
      <c r="J78" s="3">
        <v>77160</v>
      </c>
      <c r="K78" s="3">
        <v>69020</v>
      </c>
      <c r="L78" s="3">
        <v>60152</v>
      </c>
      <c r="M78" s="3">
        <v>59013</v>
      </c>
      <c r="N78" s="3">
        <v>53224</v>
      </c>
      <c r="O78" s="3">
        <v>44625</v>
      </c>
      <c r="P78" s="3">
        <v>36153</v>
      </c>
      <c r="Q78" s="3">
        <v>26840</v>
      </c>
      <c r="R78" s="3">
        <v>17291</v>
      </c>
      <c r="S78" s="3">
        <v>11373</v>
      </c>
      <c r="T78" s="3">
        <v>8366</v>
      </c>
      <c r="U78" s="3">
        <v>5532</v>
      </c>
      <c r="V78" s="3">
        <v>3035</v>
      </c>
      <c r="W78" s="3">
        <v>1941</v>
      </c>
      <c r="X78" s="3">
        <v>1143</v>
      </c>
      <c r="Y78" s="3">
        <v>984</v>
      </c>
      <c r="Z78" s="3">
        <v>286284</v>
      </c>
      <c r="AA78" s="3">
        <v>45518</v>
      </c>
      <c r="AB78" s="3">
        <v>38208</v>
      </c>
      <c r="AC78" s="3">
        <v>33352</v>
      </c>
      <c r="AD78" s="3">
        <v>29386</v>
      </c>
      <c r="AE78" s="3">
        <v>28962</v>
      </c>
      <c r="AF78" s="3">
        <v>27232</v>
      </c>
      <c r="AG78" s="3">
        <v>23178</v>
      </c>
      <c r="AH78" s="3">
        <v>19651</v>
      </c>
      <c r="AI78" s="3">
        <v>14839</v>
      </c>
      <c r="AJ78" s="3">
        <v>9483</v>
      </c>
      <c r="AK78" s="3">
        <v>6152</v>
      </c>
      <c r="AL78" s="3">
        <v>4157</v>
      </c>
      <c r="AM78" s="3">
        <v>2850</v>
      </c>
      <c r="AN78" s="3">
        <v>1618</v>
      </c>
      <c r="AO78" s="3">
        <v>934</v>
      </c>
      <c r="AP78" s="3">
        <v>446</v>
      </c>
      <c r="AQ78" s="3">
        <v>318</v>
      </c>
      <c r="AR78" s="3">
        <v>279957</v>
      </c>
      <c r="AS78" s="3">
        <v>44871</v>
      </c>
      <c r="AT78" s="3">
        <v>38952</v>
      </c>
      <c r="AU78" s="3">
        <v>35668</v>
      </c>
      <c r="AV78" s="3">
        <v>30766</v>
      </c>
      <c r="AW78" s="3">
        <v>30051</v>
      </c>
      <c r="AX78" s="3">
        <v>25992</v>
      </c>
      <c r="AY78" s="3">
        <v>21447</v>
      </c>
      <c r="AZ78" s="3">
        <v>16502</v>
      </c>
      <c r="BA78" s="3">
        <v>12001</v>
      </c>
      <c r="BB78" s="3">
        <v>7808</v>
      </c>
      <c r="BC78" s="3">
        <v>5221</v>
      </c>
      <c r="BD78" s="3">
        <v>4209</v>
      </c>
      <c r="BE78" s="3">
        <v>2682</v>
      </c>
      <c r="BF78" s="3">
        <v>1417</v>
      </c>
      <c r="BG78" s="3">
        <v>1007</v>
      </c>
      <c r="BH78" s="3">
        <v>697</v>
      </c>
      <c r="BI78" s="3">
        <v>666</v>
      </c>
    </row>
    <row r="79" spans="1:61" x14ac:dyDescent="0.25">
      <c r="A79" s="12" t="s">
        <v>3</v>
      </c>
      <c r="B79" s="12" t="s">
        <v>291</v>
      </c>
      <c r="C79" s="2" t="s">
        <v>174</v>
      </c>
      <c r="D79" s="2" t="s">
        <v>387</v>
      </c>
      <c r="E79" s="2" t="s">
        <v>174</v>
      </c>
      <c r="F79" s="2" t="s">
        <v>186</v>
      </c>
      <c r="G79" s="2">
        <v>2020</v>
      </c>
      <c r="H79" s="3">
        <v>408309</v>
      </c>
      <c r="I79" s="3">
        <v>61135</v>
      </c>
      <c r="J79" s="3">
        <v>52098</v>
      </c>
      <c r="K79" s="3">
        <v>48931</v>
      </c>
      <c r="L79" s="3">
        <v>45591</v>
      </c>
      <c r="M79" s="3">
        <v>44172</v>
      </c>
      <c r="N79" s="3">
        <v>39366</v>
      </c>
      <c r="O79" s="3">
        <v>33366</v>
      </c>
      <c r="P79" s="3">
        <v>26429</v>
      </c>
      <c r="Q79" s="3">
        <v>19579</v>
      </c>
      <c r="R79" s="3">
        <v>12694</v>
      </c>
      <c r="S79" s="3">
        <v>8674</v>
      </c>
      <c r="T79" s="3">
        <v>6244</v>
      </c>
      <c r="U79" s="3">
        <v>4259</v>
      </c>
      <c r="V79" s="3">
        <v>2459</v>
      </c>
      <c r="W79" s="3">
        <v>1576</v>
      </c>
      <c r="X79" s="3">
        <v>932</v>
      </c>
      <c r="Y79" s="3">
        <v>804</v>
      </c>
      <c r="Z79" s="3">
        <v>205733</v>
      </c>
      <c r="AA79" s="3">
        <v>30885</v>
      </c>
      <c r="AB79" s="3">
        <v>25824</v>
      </c>
      <c r="AC79" s="3">
        <v>23530</v>
      </c>
      <c r="AD79" s="3">
        <v>22164</v>
      </c>
      <c r="AE79" s="3">
        <v>21818</v>
      </c>
      <c r="AF79" s="3">
        <v>20215</v>
      </c>
      <c r="AG79" s="3">
        <v>17322</v>
      </c>
      <c r="AH79" s="3">
        <v>14250</v>
      </c>
      <c r="AI79" s="3">
        <v>10885</v>
      </c>
      <c r="AJ79" s="3">
        <v>6743</v>
      </c>
      <c r="AK79" s="3">
        <v>4397</v>
      </c>
      <c r="AL79" s="3">
        <v>3033</v>
      </c>
      <c r="AM79" s="3">
        <v>2073</v>
      </c>
      <c r="AN79" s="3">
        <v>1268</v>
      </c>
      <c r="AO79" s="3">
        <v>730</v>
      </c>
      <c r="AP79" s="3">
        <v>348</v>
      </c>
      <c r="AQ79" s="3">
        <v>248</v>
      </c>
      <c r="AR79" s="3">
        <v>202576</v>
      </c>
      <c r="AS79" s="3">
        <v>30250</v>
      </c>
      <c r="AT79" s="3">
        <v>26274</v>
      </c>
      <c r="AU79" s="3">
        <v>25401</v>
      </c>
      <c r="AV79" s="3">
        <v>23427</v>
      </c>
      <c r="AW79" s="3">
        <v>22354</v>
      </c>
      <c r="AX79" s="3">
        <v>19151</v>
      </c>
      <c r="AY79" s="3">
        <v>16044</v>
      </c>
      <c r="AZ79" s="3">
        <v>12179</v>
      </c>
      <c r="BA79" s="3">
        <v>8694</v>
      </c>
      <c r="BB79" s="3">
        <v>5951</v>
      </c>
      <c r="BC79" s="3">
        <v>4277</v>
      </c>
      <c r="BD79" s="3">
        <v>3211</v>
      </c>
      <c r="BE79" s="3">
        <v>2186</v>
      </c>
      <c r="BF79" s="3">
        <v>1191</v>
      </c>
      <c r="BG79" s="3">
        <v>846</v>
      </c>
      <c r="BH79" s="3">
        <v>584</v>
      </c>
      <c r="BI79" s="3">
        <v>556</v>
      </c>
    </row>
    <row r="80" spans="1:61" x14ac:dyDescent="0.25">
      <c r="A80" s="12" t="s">
        <v>3</v>
      </c>
      <c r="B80" s="12" t="s">
        <v>291</v>
      </c>
      <c r="C80" s="2" t="s">
        <v>174</v>
      </c>
      <c r="D80" s="2" t="s">
        <v>387</v>
      </c>
      <c r="E80" s="2" t="s">
        <v>174</v>
      </c>
      <c r="F80" s="2" t="s">
        <v>187</v>
      </c>
      <c r="G80" s="2">
        <v>2020</v>
      </c>
      <c r="H80" s="3">
        <v>377120</v>
      </c>
      <c r="I80" s="3">
        <v>53045</v>
      </c>
      <c r="J80" s="3">
        <v>44430</v>
      </c>
      <c r="K80" s="3">
        <v>43863</v>
      </c>
      <c r="L80" s="3">
        <v>43941</v>
      </c>
      <c r="M80" s="3">
        <v>42925</v>
      </c>
      <c r="N80" s="3">
        <v>38214</v>
      </c>
      <c r="O80" s="3">
        <v>31592</v>
      </c>
      <c r="P80" s="3">
        <v>25067</v>
      </c>
      <c r="Q80" s="3">
        <v>19232</v>
      </c>
      <c r="R80" s="3">
        <v>12325</v>
      </c>
      <c r="S80" s="3">
        <v>8222</v>
      </c>
      <c r="T80" s="3">
        <v>6006</v>
      </c>
      <c r="U80" s="3">
        <v>3510</v>
      </c>
      <c r="V80" s="3">
        <v>2014</v>
      </c>
      <c r="W80" s="3">
        <v>1297</v>
      </c>
      <c r="X80" s="3">
        <v>770</v>
      </c>
      <c r="Y80" s="3">
        <v>667</v>
      </c>
      <c r="Z80" s="3">
        <v>186280</v>
      </c>
      <c r="AA80" s="3">
        <v>26748</v>
      </c>
      <c r="AB80" s="3">
        <v>22117</v>
      </c>
      <c r="AC80" s="3">
        <v>20706</v>
      </c>
      <c r="AD80" s="3">
        <v>20737</v>
      </c>
      <c r="AE80" s="3">
        <v>20989</v>
      </c>
      <c r="AF80" s="3">
        <v>18867</v>
      </c>
      <c r="AG80" s="3">
        <v>15531</v>
      </c>
      <c r="AH80" s="3">
        <v>13011</v>
      </c>
      <c r="AI80" s="3">
        <v>10159</v>
      </c>
      <c r="AJ80" s="3">
        <v>6563</v>
      </c>
      <c r="AK80" s="3">
        <v>4207</v>
      </c>
      <c r="AL80" s="3">
        <v>2928</v>
      </c>
      <c r="AM80" s="3">
        <v>1722</v>
      </c>
      <c r="AN80" s="3">
        <v>977</v>
      </c>
      <c r="AO80" s="3">
        <v>563</v>
      </c>
      <c r="AP80" s="3">
        <v>267</v>
      </c>
      <c r="AQ80" s="3">
        <v>188</v>
      </c>
      <c r="AR80" s="3">
        <v>190840</v>
      </c>
      <c r="AS80" s="3">
        <v>26297</v>
      </c>
      <c r="AT80" s="3">
        <v>22313</v>
      </c>
      <c r="AU80" s="3">
        <v>23157</v>
      </c>
      <c r="AV80" s="3">
        <v>23204</v>
      </c>
      <c r="AW80" s="3">
        <v>21936</v>
      </c>
      <c r="AX80" s="3">
        <v>19347</v>
      </c>
      <c r="AY80" s="3">
        <v>16061</v>
      </c>
      <c r="AZ80" s="3">
        <v>12056</v>
      </c>
      <c r="BA80" s="3">
        <v>9073</v>
      </c>
      <c r="BB80" s="3">
        <v>5762</v>
      </c>
      <c r="BC80" s="3">
        <v>4015</v>
      </c>
      <c r="BD80" s="3">
        <v>3078</v>
      </c>
      <c r="BE80" s="3">
        <v>1788</v>
      </c>
      <c r="BF80" s="3">
        <v>1037</v>
      </c>
      <c r="BG80" s="3">
        <v>734</v>
      </c>
      <c r="BH80" s="3">
        <v>503</v>
      </c>
      <c r="BI80" s="3">
        <v>479</v>
      </c>
    </row>
    <row r="81" spans="1:61" x14ac:dyDescent="0.25">
      <c r="A81" s="12" t="s">
        <v>3</v>
      </c>
      <c r="B81" s="12" t="s">
        <v>291</v>
      </c>
      <c r="C81" s="2" t="s">
        <v>199</v>
      </c>
      <c r="D81" s="2" t="s">
        <v>446</v>
      </c>
      <c r="E81" s="2" t="s">
        <v>205</v>
      </c>
      <c r="F81" s="2" t="s">
        <v>206</v>
      </c>
      <c r="G81" s="2">
        <v>2020</v>
      </c>
      <c r="H81" s="3">
        <v>77321</v>
      </c>
      <c r="I81" s="3">
        <v>14126</v>
      </c>
      <c r="J81" s="3">
        <v>12519</v>
      </c>
      <c r="K81" s="3">
        <v>10448</v>
      </c>
      <c r="L81" s="3">
        <v>8173</v>
      </c>
      <c r="M81" s="3">
        <v>6612</v>
      </c>
      <c r="N81" s="3">
        <v>5320</v>
      </c>
      <c r="O81" s="3">
        <v>4083</v>
      </c>
      <c r="P81" s="3">
        <v>3663</v>
      </c>
      <c r="Q81" s="3">
        <v>3381</v>
      </c>
      <c r="R81" s="3">
        <v>2630</v>
      </c>
      <c r="S81" s="3">
        <v>1745</v>
      </c>
      <c r="T81" s="3">
        <v>1359</v>
      </c>
      <c r="U81" s="3">
        <v>1139</v>
      </c>
      <c r="V81" s="3">
        <v>850</v>
      </c>
      <c r="W81" s="3">
        <v>616</v>
      </c>
      <c r="X81" s="3">
        <v>386</v>
      </c>
      <c r="Y81" s="3">
        <v>271</v>
      </c>
      <c r="Z81" s="3">
        <v>38676</v>
      </c>
      <c r="AA81" s="3">
        <v>7203</v>
      </c>
      <c r="AB81" s="3">
        <v>6246</v>
      </c>
      <c r="AC81" s="3">
        <v>5406</v>
      </c>
      <c r="AD81" s="3">
        <v>4057</v>
      </c>
      <c r="AE81" s="3">
        <v>3275</v>
      </c>
      <c r="AF81" s="3">
        <v>2596</v>
      </c>
      <c r="AG81" s="3">
        <v>2035</v>
      </c>
      <c r="AH81" s="3">
        <v>1781</v>
      </c>
      <c r="AI81" s="3">
        <v>1631</v>
      </c>
      <c r="AJ81" s="3">
        <v>1396</v>
      </c>
      <c r="AK81" s="3">
        <v>955</v>
      </c>
      <c r="AL81" s="3">
        <v>580</v>
      </c>
      <c r="AM81" s="3">
        <v>502</v>
      </c>
      <c r="AN81" s="3">
        <v>409</v>
      </c>
      <c r="AO81" s="3">
        <v>303</v>
      </c>
      <c r="AP81" s="3">
        <v>186</v>
      </c>
      <c r="AQ81" s="3">
        <v>115</v>
      </c>
      <c r="AR81" s="3">
        <v>38645</v>
      </c>
      <c r="AS81" s="3">
        <v>6923</v>
      </c>
      <c r="AT81" s="3">
        <v>6273</v>
      </c>
      <c r="AU81" s="3">
        <v>5042</v>
      </c>
      <c r="AV81" s="3">
        <v>4116</v>
      </c>
      <c r="AW81" s="3">
        <v>3337</v>
      </c>
      <c r="AX81" s="3">
        <v>2724</v>
      </c>
      <c r="AY81" s="3">
        <v>2048</v>
      </c>
      <c r="AZ81" s="3">
        <v>1882</v>
      </c>
      <c r="BA81" s="3">
        <v>1750</v>
      </c>
      <c r="BB81" s="3">
        <v>1234</v>
      </c>
      <c r="BC81" s="3">
        <v>790</v>
      </c>
      <c r="BD81" s="3">
        <v>779</v>
      </c>
      <c r="BE81" s="3">
        <v>637</v>
      </c>
      <c r="BF81" s="3">
        <v>441</v>
      </c>
      <c r="BG81" s="3">
        <v>313</v>
      </c>
      <c r="BH81" s="3">
        <v>200</v>
      </c>
      <c r="BI81" s="3">
        <v>156</v>
      </c>
    </row>
    <row r="82" spans="1:61" x14ac:dyDescent="0.25">
      <c r="A82" s="12" t="s">
        <v>3</v>
      </c>
      <c r="B82" s="12" t="s">
        <v>291</v>
      </c>
      <c r="C82" s="2" t="s">
        <v>199</v>
      </c>
      <c r="D82" s="2" t="s">
        <v>446</v>
      </c>
      <c r="E82" s="2" t="s">
        <v>205</v>
      </c>
      <c r="F82" s="2" t="s">
        <v>207</v>
      </c>
      <c r="G82" s="2">
        <v>2020</v>
      </c>
      <c r="H82" s="3">
        <v>101422</v>
      </c>
      <c r="I82" s="3">
        <v>20107</v>
      </c>
      <c r="J82" s="3">
        <v>16920</v>
      </c>
      <c r="K82" s="3">
        <v>13341</v>
      </c>
      <c r="L82" s="3">
        <v>9869</v>
      </c>
      <c r="M82" s="3">
        <v>8026</v>
      </c>
      <c r="N82" s="3">
        <v>6943</v>
      </c>
      <c r="O82" s="3">
        <v>5144</v>
      </c>
      <c r="P82" s="3">
        <v>4747</v>
      </c>
      <c r="Q82" s="3">
        <v>4402</v>
      </c>
      <c r="R82" s="3">
        <v>3444</v>
      </c>
      <c r="S82" s="3">
        <v>2345</v>
      </c>
      <c r="T82" s="3">
        <v>1803</v>
      </c>
      <c r="U82" s="3">
        <v>1493</v>
      </c>
      <c r="V82" s="3">
        <v>1131</v>
      </c>
      <c r="W82" s="3">
        <v>824</v>
      </c>
      <c r="X82" s="3">
        <v>516</v>
      </c>
      <c r="Y82" s="3">
        <v>367</v>
      </c>
      <c r="Z82" s="3">
        <v>50599</v>
      </c>
      <c r="AA82" s="3">
        <v>10164</v>
      </c>
      <c r="AB82" s="3">
        <v>8580</v>
      </c>
      <c r="AC82" s="3">
        <v>6904</v>
      </c>
      <c r="AD82" s="3">
        <v>4893</v>
      </c>
      <c r="AE82" s="3">
        <v>3774</v>
      </c>
      <c r="AF82" s="3">
        <v>3359</v>
      </c>
      <c r="AG82" s="3">
        <v>2616</v>
      </c>
      <c r="AH82" s="3">
        <v>2264</v>
      </c>
      <c r="AI82" s="3">
        <v>2212</v>
      </c>
      <c r="AJ82" s="3">
        <v>1805</v>
      </c>
      <c r="AK82" s="3">
        <v>1292</v>
      </c>
      <c r="AL82" s="3">
        <v>811</v>
      </c>
      <c r="AM82" s="3">
        <v>627</v>
      </c>
      <c r="AN82" s="3">
        <v>520</v>
      </c>
      <c r="AO82" s="3">
        <v>389</v>
      </c>
      <c r="AP82" s="3">
        <v>239</v>
      </c>
      <c r="AQ82" s="3">
        <v>150</v>
      </c>
      <c r="AR82" s="3">
        <v>50823</v>
      </c>
      <c r="AS82" s="3">
        <v>9943</v>
      </c>
      <c r="AT82" s="3">
        <v>8340</v>
      </c>
      <c r="AU82" s="3">
        <v>6437</v>
      </c>
      <c r="AV82" s="3">
        <v>4976</v>
      </c>
      <c r="AW82" s="3">
        <v>4252</v>
      </c>
      <c r="AX82" s="3">
        <v>3584</v>
      </c>
      <c r="AY82" s="3">
        <v>2528</v>
      </c>
      <c r="AZ82" s="3">
        <v>2483</v>
      </c>
      <c r="BA82" s="3">
        <v>2190</v>
      </c>
      <c r="BB82" s="3">
        <v>1639</v>
      </c>
      <c r="BC82" s="3">
        <v>1053</v>
      </c>
      <c r="BD82" s="3">
        <v>992</v>
      </c>
      <c r="BE82" s="3">
        <v>866</v>
      </c>
      <c r="BF82" s="3">
        <v>611</v>
      </c>
      <c r="BG82" s="3">
        <v>435</v>
      </c>
      <c r="BH82" s="3">
        <v>277</v>
      </c>
      <c r="BI82" s="3">
        <v>217</v>
      </c>
    </row>
    <row r="83" spans="1:61" x14ac:dyDescent="0.25">
      <c r="A83" s="12" t="s">
        <v>3</v>
      </c>
      <c r="B83" s="12" t="s">
        <v>291</v>
      </c>
      <c r="C83" s="2" t="s">
        <v>113</v>
      </c>
      <c r="D83" s="2" t="s">
        <v>404</v>
      </c>
      <c r="E83" s="2" t="s">
        <v>194</v>
      </c>
      <c r="F83" s="2" t="s">
        <v>194</v>
      </c>
      <c r="G83" s="2">
        <v>2020</v>
      </c>
      <c r="H83" s="3">
        <v>99972</v>
      </c>
      <c r="I83" s="3">
        <v>19415</v>
      </c>
      <c r="J83" s="3">
        <v>17452</v>
      </c>
      <c r="K83" s="3">
        <v>13502</v>
      </c>
      <c r="L83" s="3">
        <v>10419</v>
      </c>
      <c r="M83" s="3">
        <v>8360</v>
      </c>
      <c r="N83" s="3">
        <v>6673</v>
      </c>
      <c r="O83" s="3">
        <v>4813</v>
      </c>
      <c r="P83" s="3">
        <v>4156</v>
      </c>
      <c r="Q83" s="3">
        <v>4081</v>
      </c>
      <c r="R83" s="3">
        <v>2894</v>
      </c>
      <c r="S83" s="3">
        <v>2216</v>
      </c>
      <c r="T83" s="3">
        <v>1507</v>
      </c>
      <c r="U83" s="3">
        <v>1460</v>
      </c>
      <c r="V83" s="3">
        <v>1050</v>
      </c>
      <c r="W83" s="3">
        <v>957</v>
      </c>
      <c r="X83" s="3">
        <v>582</v>
      </c>
      <c r="Y83" s="3">
        <v>435</v>
      </c>
      <c r="Z83" s="3">
        <v>49084</v>
      </c>
      <c r="AA83" s="3">
        <v>9749</v>
      </c>
      <c r="AB83" s="3">
        <v>8798</v>
      </c>
      <c r="AC83" s="3">
        <v>6992</v>
      </c>
      <c r="AD83" s="3">
        <v>5207</v>
      </c>
      <c r="AE83" s="3">
        <v>3995</v>
      </c>
      <c r="AF83" s="3">
        <v>3276</v>
      </c>
      <c r="AG83" s="3">
        <v>2343</v>
      </c>
      <c r="AH83" s="3">
        <v>1970</v>
      </c>
      <c r="AI83" s="3">
        <v>1821</v>
      </c>
      <c r="AJ83" s="3">
        <v>1378</v>
      </c>
      <c r="AK83" s="3">
        <v>1052</v>
      </c>
      <c r="AL83" s="3">
        <v>676</v>
      </c>
      <c r="AM83" s="3">
        <v>526</v>
      </c>
      <c r="AN83" s="3">
        <v>438</v>
      </c>
      <c r="AO83" s="3">
        <v>427</v>
      </c>
      <c r="AP83" s="3">
        <v>255</v>
      </c>
      <c r="AQ83" s="3">
        <v>181</v>
      </c>
      <c r="AR83" s="3">
        <v>50888</v>
      </c>
      <c r="AS83" s="3">
        <v>9666</v>
      </c>
      <c r="AT83" s="3">
        <v>8654</v>
      </c>
      <c r="AU83" s="3">
        <v>6510</v>
      </c>
      <c r="AV83" s="3">
        <v>5212</v>
      </c>
      <c r="AW83" s="3">
        <v>4365</v>
      </c>
      <c r="AX83" s="3">
        <v>3397</v>
      </c>
      <c r="AY83" s="3">
        <v>2470</v>
      </c>
      <c r="AZ83" s="3">
        <v>2186</v>
      </c>
      <c r="BA83" s="3">
        <v>2260</v>
      </c>
      <c r="BB83" s="3">
        <v>1516</v>
      </c>
      <c r="BC83" s="3">
        <v>1164</v>
      </c>
      <c r="BD83" s="3">
        <v>831</v>
      </c>
      <c r="BE83" s="3">
        <v>934</v>
      </c>
      <c r="BF83" s="3">
        <v>612</v>
      </c>
      <c r="BG83" s="3">
        <v>530</v>
      </c>
      <c r="BH83" s="3">
        <v>327</v>
      </c>
      <c r="BI83" s="3">
        <v>254</v>
      </c>
    </row>
    <row r="84" spans="1:61" x14ac:dyDescent="0.25">
      <c r="A84" s="12" t="s">
        <v>3</v>
      </c>
      <c r="B84" s="12" t="s">
        <v>291</v>
      </c>
      <c r="C84" s="2" t="s">
        <v>138</v>
      </c>
      <c r="D84" s="2" t="s">
        <v>335</v>
      </c>
      <c r="E84" s="2" t="s">
        <v>152</v>
      </c>
      <c r="F84" s="2" t="s">
        <v>153</v>
      </c>
      <c r="G84" s="2">
        <v>2020</v>
      </c>
      <c r="H84" s="3">
        <v>97116</v>
      </c>
      <c r="I84" s="3">
        <v>17103</v>
      </c>
      <c r="J84" s="3">
        <v>15724</v>
      </c>
      <c r="K84" s="3">
        <v>13408</v>
      </c>
      <c r="L84" s="3">
        <v>10555</v>
      </c>
      <c r="M84" s="3">
        <v>8277</v>
      </c>
      <c r="N84" s="3">
        <v>6426</v>
      </c>
      <c r="O84" s="3">
        <v>5788</v>
      </c>
      <c r="P84" s="3">
        <v>4939</v>
      </c>
      <c r="Q84" s="3">
        <v>4298</v>
      </c>
      <c r="R84" s="3">
        <v>2944</v>
      </c>
      <c r="S84" s="3">
        <v>2188</v>
      </c>
      <c r="T84" s="3">
        <v>1515</v>
      </c>
      <c r="U84" s="3">
        <v>1406</v>
      </c>
      <c r="V84" s="3">
        <v>904</v>
      </c>
      <c r="W84" s="3">
        <v>781</v>
      </c>
      <c r="X84" s="3">
        <v>484</v>
      </c>
      <c r="Y84" s="3">
        <v>376</v>
      </c>
      <c r="Z84" s="3">
        <v>48813</v>
      </c>
      <c r="AA84" s="3">
        <v>8603</v>
      </c>
      <c r="AB84" s="3">
        <v>7909</v>
      </c>
      <c r="AC84" s="3">
        <v>6863</v>
      </c>
      <c r="AD84" s="3">
        <v>5551</v>
      </c>
      <c r="AE84" s="3">
        <v>4186</v>
      </c>
      <c r="AF84" s="3">
        <v>3212</v>
      </c>
      <c r="AG84" s="3">
        <v>2866</v>
      </c>
      <c r="AH84" s="3">
        <v>2517</v>
      </c>
      <c r="AI84" s="3">
        <v>2126</v>
      </c>
      <c r="AJ84" s="3">
        <v>1515</v>
      </c>
      <c r="AK84" s="3">
        <v>1152</v>
      </c>
      <c r="AL84" s="3">
        <v>707</v>
      </c>
      <c r="AM84" s="3">
        <v>565</v>
      </c>
      <c r="AN84" s="3">
        <v>383</v>
      </c>
      <c r="AO84" s="3">
        <v>332</v>
      </c>
      <c r="AP84" s="3">
        <v>189</v>
      </c>
      <c r="AQ84" s="3">
        <v>137</v>
      </c>
      <c r="AR84" s="3">
        <v>48303</v>
      </c>
      <c r="AS84" s="3">
        <v>8500</v>
      </c>
      <c r="AT84" s="3">
        <v>7815</v>
      </c>
      <c r="AU84" s="3">
        <v>6545</v>
      </c>
      <c r="AV84" s="3">
        <v>5004</v>
      </c>
      <c r="AW84" s="3">
        <v>4091</v>
      </c>
      <c r="AX84" s="3">
        <v>3214</v>
      </c>
      <c r="AY84" s="3">
        <v>2922</v>
      </c>
      <c r="AZ84" s="3">
        <v>2422</v>
      </c>
      <c r="BA84" s="3">
        <v>2172</v>
      </c>
      <c r="BB84" s="3">
        <v>1429</v>
      </c>
      <c r="BC84" s="3">
        <v>1036</v>
      </c>
      <c r="BD84" s="3">
        <v>808</v>
      </c>
      <c r="BE84" s="3">
        <v>841</v>
      </c>
      <c r="BF84" s="3">
        <v>521</v>
      </c>
      <c r="BG84" s="3">
        <v>449</v>
      </c>
      <c r="BH84" s="3">
        <v>295</v>
      </c>
      <c r="BI84" s="3">
        <v>239</v>
      </c>
    </row>
    <row r="85" spans="1:61" x14ac:dyDescent="0.25">
      <c r="A85" s="12" t="s">
        <v>3</v>
      </c>
      <c r="B85" s="12" t="s">
        <v>291</v>
      </c>
      <c r="C85" s="2" t="s">
        <v>158</v>
      </c>
      <c r="D85" s="2" t="s">
        <v>363</v>
      </c>
      <c r="E85" s="2" t="s">
        <v>163</v>
      </c>
      <c r="F85" s="2" t="s">
        <v>164</v>
      </c>
      <c r="G85" s="2">
        <v>2020</v>
      </c>
      <c r="H85" s="3">
        <v>119257</v>
      </c>
      <c r="I85" s="3">
        <v>22671</v>
      </c>
      <c r="J85" s="3">
        <v>19232</v>
      </c>
      <c r="K85" s="3">
        <v>15661</v>
      </c>
      <c r="L85" s="3">
        <v>12531</v>
      </c>
      <c r="M85" s="3">
        <v>9905</v>
      </c>
      <c r="N85" s="3">
        <v>7893</v>
      </c>
      <c r="O85" s="3">
        <v>6558</v>
      </c>
      <c r="P85" s="3">
        <v>5664</v>
      </c>
      <c r="Q85" s="3">
        <v>5040</v>
      </c>
      <c r="R85" s="3">
        <v>3850</v>
      </c>
      <c r="S85" s="3">
        <v>2955</v>
      </c>
      <c r="T85" s="3">
        <v>2345</v>
      </c>
      <c r="U85" s="3">
        <v>1956</v>
      </c>
      <c r="V85" s="3">
        <v>1296</v>
      </c>
      <c r="W85" s="3">
        <v>870</v>
      </c>
      <c r="X85" s="3">
        <v>510</v>
      </c>
      <c r="Y85" s="3">
        <v>320</v>
      </c>
      <c r="Z85" s="3">
        <v>59868</v>
      </c>
      <c r="AA85" s="3">
        <v>11630</v>
      </c>
      <c r="AB85" s="3">
        <v>9772</v>
      </c>
      <c r="AC85" s="3">
        <v>8176</v>
      </c>
      <c r="AD85" s="3">
        <v>6368</v>
      </c>
      <c r="AE85" s="3">
        <v>4852</v>
      </c>
      <c r="AF85" s="3">
        <v>3817</v>
      </c>
      <c r="AG85" s="3">
        <v>3232</v>
      </c>
      <c r="AH85" s="3">
        <v>2761</v>
      </c>
      <c r="AI85" s="3">
        <v>2481</v>
      </c>
      <c r="AJ85" s="3">
        <v>1931</v>
      </c>
      <c r="AK85" s="3">
        <v>1514</v>
      </c>
      <c r="AL85" s="3">
        <v>1055</v>
      </c>
      <c r="AM85" s="3">
        <v>832</v>
      </c>
      <c r="AN85" s="3">
        <v>655</v>
      </c>
      <c r="AO85" s="3">
        <v>419</v>
      </c>
      <c r="AP85" s="3">
        <v>249</v>
      </c>
      <c r="AQ85" s="3">
        <v>124</v>
      </c>
      <c r="AR85" s="3">
        <v>59389</v>
      </c>
      <c r="AS85" s="3">
        <v>11041</v>
      </c>
      <c r="AT85" s="3">
        <v>9460</v>
      </c>
      <c r="AU85" s="3">
        <v>7485</v>
      </c>
      <c r="AV85" s="3">
        <v>6163</v>
      </c>
      <c r="AW85" s="3">
        <v>5053</v>
      </c>
      <c r="AX85" s="3">
        <v>4076</v>
      </c>
      <c r="AY85" s="3">
        <v>3326</v>
      </c>
      <c r="AZ85" s="3">
        <v>2903</v>
      </c>
      <c r="BA85" s="3">
        <v>2559</v>
      </c>
      <c r="BB85" s="3">
        <v>1919</v>
      </c>
      <c r="BC85" s="3">
        <v>1441</v>
      </c>
      <c r="BD85" s="3">
        <v>1290</v>
      </c>
      <c r="BE85" s="3">
        <v>1124</v>
      </c>
      <c r="BF85" s="3">
        <v>641</v>
      </c>
      <c r="BG85" s="3">
        <v>451</v>
      </c>
      <c r="BH85" s="3">
        <v>261</v>
      </c>
      <c r="BI85" s="3">
        <v>196</v>
      </c>
    </row>
    <row r="86" spans="1:61" x14ac:dyDescent="0.25">
      <c r="A86" s="12" t="s">
        <v>3</v>
      </c>
      <c r="B86" s="12" t="s">
        <v>291</v>
      </c>
      <c r="C86" s="2" t="s">
        <v>158</v>
      </c>
      <c r="D86" s="2" t="s">
        <v>363</v>
      </c>
      <c r="E86" s="2" t="s">
        <v>163</v>
      </c>
      <c r="F86" s="2" t="s">
        <v>163</v>
      </c>
      <c r="G86" s="2">
        <v>2020</v>
      </c>
      <c r="H86" s="3">
        <v>163311</v>
      </c>
      <c r="I86" s="3">
        <v>29122</v>
      </c>
      <c r="J86" s="3">
        <v>25371</v>
      </c>
      <c r="K86" s="3">
        <v>21968</v>
      </c>
      <c r="L86" s="3">
        <v>17960</v>
      </c>
      <c r="M86" s="3">
        <v>14311</v>
      </c>
      <c r="N86" s="3">
        <v>11455</v>
      </c>
      <c r="O86" s="3">
        <v>9393</v>
      </c>
      <c r="P86" s="3">
        <v>7834</v>
      </c>
      <c r="Q86" s="3">
        <v>7041</v>
      </c>
      <c r="R86" s="3">
        <v>5412</v>
      </c>
      <c r="S86" s="3">
        <v>4103</v>
      </c>
      <c r="T86" s="3">
        <v>3211</v>
      </c>
      <c r="U86" s="3">
        <v>2444</v>
      </c>
      <c r="V86" s="3">
        <v>1585</v>
      </c>
      <c r="W86" s="3">
        <v>1071</v>
      </c>
      <c r="X86" s="3">
        <v>631</v>
      </c>
      <c r="Y86" s="3">
        <v>399</v>
      </c>
      <c r="Z86" s="3">
        <v>80886</v>
      </c>
      <c r="AA86" s="3">
        <v>14608</v>
      </c>
      <c r="AB86" s="3">
        <v>12785</v>
      </c>
      <c r="AC86" s="3">
        <v>10987</v>
      </c>
      <c r="AD86" s="3">
        <v>8915</v>
      </c>
      <c r="AE86" s="3">
        <v>7093</v>
      </c>
      <c r="AF86" s="3">
        <v>5618</v>
      </c>
      <c r="AG86" s="3">
        <v>4518</v>
      </c>
      <c r="AH86" s="3">
        <v>3813</v>
      </c>
      <c r="AI86" s="3">
        <v>3510</v>
      </c>
      <c r="AJ86" s="3">
        <v>2705</v>
      </c>
      <c r="AK86" s="3">
        <v>2078</v>
      </c>
      <c r="AL86" s="3">
        <v>1453</v>
      </c>
      <c r="AM86" s="3">
        <v>1140</v>
      </c>
      <c r="AN86" s="3">
        <v>749</v>
      </c>
      <c r="AO86" s="3">
        <v>482</v>
      </c>
      <c r="AP86" s="3">
        <v>290</v>
      </c>
      <c r="AQ86" s="3">
        <v>142</v>
      </c>
      <c r="AR86" s="3">
        <v>82425</v>
      </c>
      <c r="AS86" s="3">
        <v>14514</v>
      </c>
      <c r="AT86" s="3">
        <v>12586</v>
      </c>
      <c r="AU86" s="3">
        <v>10981</v>
      </c>
      <c r="AV86" s="3">
        <v>9045</v>
      </c>
      <c r="AW86" s="3">
        <v>7218</v>
      </c>
      <c r="AX86" s="3">
        <v>5837</v>
      </c>
      <c r="AY86" s="3">
        <v>4875</v>
      </c>
      <c r="AZ86" s="3">
        <v>4021</v>
      </c>
      <c r="BA86" s="3">
        <v>3531</v>
      </c>
      <c r="BB86" s="3">
        <v>2707</v>
      </c>
      <c r="BC86" s="3">
        <v>2025</v>
      </c>
      <c r="BD86" s="3">
        <v>1758</v>
      </c>
      <c r="BE86" s="3">
        <v>1304</v>
      </c>
      <c r="BF86" s="3">
        <v>836</v>
      </c>
      <c r="BG86" s="3">
        <v>589</v>
      </c>
      <c r="BH86" s="3">
        <v>341</v>
      </c>
      <c r="BI86" s="3">
        <v>257</v>
      </c>
    </row>
    <row r="87" spans="1:61" x14ac:dyDescent="0.25">
      <c r="A87" s="12" t="s">
        <v>3</v>
      </c>
      <c r="B87" s="12" t="s">
        <v>291</v>
      </c>
      <c r="C87" s="2" t="s">
        <v>114</v>
      </c>
      <c r="D87" s="2" t="s">
        <v>313</v>
      </c>
      <c r="E87" s="2" t="s">
        <v>128</v>
      </c>
      <c r="F87" s="2" t="s">
        <v>129</v>
      </c>
      <c r="G87" s="2">
        <v>2020</v>
      </c>
      <c r="H87" s="3">
        <v>63791</v>
      </c>
      <c r="I87" s="3">
        <v>11313</v>
      </c>
      <c r="J87" s="3">
        <v>10286</v>
      </c>
      <c r="K87" s="3">
        <v>8746</v>
      </c>
      <c r="L87" s="3">
        <v>6909</v>
      </c>
      <c r="M87" s="3">
        <v>4892</v>
      </c>
      <c r="N87" s="3">
        <v>4190</v>
      </c>
      <c r="O87" s="3">
        <v>3569</v>
      </c>
      <c r="P87" s="3">
        <v>3207</v>
      </c>
      <c r="Q87" s="3">
        <v>2749</v>
      </c>
      <c r="R87" s="3">
        <v>2083</v>
      </c>
      <c r="S87" s="3">
        <v>1550</v>
      </c>
      <c r="T87" s="3">
        <v>1295</v>
      </c>
      <c r="U87" s="3">
        <v>1085</v>
      </c>
      <c r="V87" s="3">
        <v>757</v>
      </c>
      <c r="W87" s="3">
        <v>567</v>
      </c>
      <c r="X87" s="3">
        <v>377</v>
      </c>
      <c r="Y87" s="3">
        <v>216</v>
      </c>
      <c r="Z87" s="3">
        <v>32393</v>
      </c>
      <c r="AA87" s="3">
        <v>5684</v>
      </c>
      <c r="AB87" s="3">
        <v>5211</v>
      </c>
      <c r="AC87" s="3">
        <v>4505</v>
      </c>
      <c r="AD87" s="3">
        <v>3569</v>
      </c>
      <c r="AE87" s="3">
        <v>2484</v>
      </c>
      <c r="AF87" s="3">
        <v>2113</v>
      </c>
      <c r="AG87" s="3">
        <v>1809</v>
      </c>
      <c r="AH87" s="3">
        <v>1615</v>
      </c>
      <c r="AI87" s="3">
        <v>1478</v>
      </c>
      <c r="AJ87" s="3">
        <v>1069</v>
      </c>
      <c r="AK87" s="3">
        <v>777</v>
      </c>
      <c r="AL87" s="3">
        <v>626</v>
      </c>
      <c r="AM87" s="3">
        <v>506</v>
      </c>
      <c r="AN87" s="3">
        <v>367</v>
      </c>
      <c r="AO87" s="3">
        <v>287</v>
      </c>
      <c r="AP87" s="3">
        <v>194</v>
      </c>
      <c r="AQ87" s="3">
        <v>99</v>
      </c>
      <c r="AR87" s="3">
        <v>31398</v>
      </c>
      <c r="AS87" s="3">
        <v>5629</v>
      </c>
      <c r="AT87" s="3">
        <v>5075</v>
      </c>
      <c r="AU87" s="3">
        <v>4241</v>
      </c>
      <c r="AV87" s="3">
        <v>3340</v>
      </c>
      <c r="AW87" s="3">
        <v>2408</v>
      </c>
      <c r="AX87" s="3">
        <v>2077</v>
      </c>
      <c r="AY87" s="3">
        <v>1760</v>
      </c>
      <c r="AZ87" s="3">
        <v>1592</v>
      </c>
      <c r="BA87" s="3">
        <v>1271</v>
      </c>
      <c r="BB87" s="3">
        <v>1014</v>
      </c>
      <c r="BC87" s="3">
        <v>773</v>
      </c>
      <c r="BD87" s="3">
        <v>669</v>
      </c>
      <c r="BE87" s="3">
        <v>579</v>
      </c>
      <c r="BF87" s="3">
        <v>390</v>
      </c>
      <c r="BG87" s="3">
        <v>280</v>
      </c>
      <c r="BH87" s="3">
        <v>183</v>
      </c>
      <c r="BI87" s="3">
        <v>117</v>
      </c>
    </row>
    <row r="88" spans="1:61" x14ac:dyDescent="0.25">
      <c r="A88" s="12" t="s">
        <v>3</v>
      </c>
      <c r="B88" s="12" t="s">
        <v>291</v>
      </c>
      <c r="C88" s="2" t="s">
        <v>114</v>
      </c>
      <c r="D88" s="2" t="s">
        <v>313</v>
      </c>
      <c r="E88" s="2" t="s">
        <v>128</v>
      </c>
      <c r="F88" s="2" t="s">
        <v>128</v>
      </c>
      <c r="G88" s="2">
        <v>2020</v>
      </c>
      <c r="H88" s="3">
        <v>53717</v>
      </c>
      <c r="I88" s="3">
        <v>9079</v>
      </c>
      <c r="J88" s="3">
        <v>8191</v>
      </c>
      <c r="K88" s="3">
        <v>7246</v>
      </c>
      <c r="L88" s="3">
        <v>5813</v>
      </c>
      <c r="M88" s="3">
        <v>4334</v>
      </c>
      <c r="N88" s="3">
        <v>3638</v>
      </c>
      <c r="O88" s="3">
        <v>2998</v>
      </c>
      <c r="P88" s="3">
        <v>2762</v>
      </c>
      <c r="Q88" s="3">
        <v>2405</v>
      </c>
      <c r="R88" s="3">
        <v>1793</v>
      </c>
      <c r="S88" s="3">
        <v>1407</v>
      </c>
      <c r="T88" s="3">
        <v>1204</v>
      </c>
      <c r="U88" s="3">
        <v>1042</v>
      </c>
      <c r="V88" s="3">
        <v>710</v>
      </c>
      <c r="W88" s="3">
        <v>534</v>
      </c>
      <c r="X88" s="3">
        <v>357</v>
      </c>
      <c r="Y88" s="3">
        <v>204</v>
      </c>
      <c r="Z88" s="3">
        <v>27097</v>
      </c>
      <c r="AA88" s="3">
        <v>4547</v>
      </c>
      <c r="AB88" s="3">
        <v>4223</v>
      </c>
      <c r="AC88" s="3">
        <v>3753</v>
      </c>
      <c r="AD88" s="3">
        <v>2984</v>
      </c>
      <c r="AE88" s="3">
        <v>2147</v>
      </c>
      <c r="AF88" s="3">
        <v>1822</v>
      </c>
      <c r="AG88" s="3">
        <v>1514</v>
      </c>
      <c r="AH88" s="3">
        <v>1411</v>
      </c>
      <c r="AI88" s="3">
        <v>1274</v>
      </c>
      <c r="AJ88" s="3">
        <v>871</v>
      </c>
      <c r="AK88" s="3">
        <v>690</v>
      </c>
      <c r="AL88" s="3">
        <v>524</v>
      </c>
      <c r="AM88" s="3">
        <v>468</v>
      </c>
      <c r="AN88" s="3">
        <v>337</v>
      </c>
      <c r="AO88" s="3">
        <v>264</v>
      </c>
      <c r="AP88" s="3">
        <v>178</v>
      </c>
      <c r="AQ88" s="3">
        <v>90</v>
      </c>
      <c r="AR88" s="3">
        <v>26620</v>
      </c>
      <c r="AS88" s="3">
        <v>4532</v>
      </c>
      <c r="AT88" s="3">
        <v>3968</v>
      </c>
      <c r="AU88" s="3">
        <v>3493</v>
      </c>
      <c r="AV88" s="3">
        <v>2829</v>
      </c>
      <c r="AW88" s="3">
        <v>2187</v>
      </c>
      <c r="AX88" s="3">
        <v>1816</v>
      </c>
      <c r="AY88" s="3">
        <v>1484</v>
      </c>
      <c r="AZ88" s="3">
        <v>1351</v>
      </c>
      <c r="BA88" s="3">
        <v>1131</v>
      </c>
      <c r="BB88" s="3">
        <v>922</v>
      </c>
      <c r="BC88" s="3">
        <v>717</v>
      </c>
      <c r="BD88" s="3">
        <v>680</v>
      </c>
      <c r="BE88" s="3">
        <v>574</v>
      </c>
      <c r="BF88" s="3">
        <v>373</v>
      </c>
      <c r="BG88" s="3">
        <v>270</v>
      </c>
      <c r="BH88" s="3">
        <v>179</v>
      </c>
      <c r="BI88" s="3">
        <v>114</v>
      </c>
    </row>
    <row r="89" spans="1:61" x14ac:dyDescent="0.25">
      <c r="A89" s="12" t="s">
        <v>3</v>
      </c>
      <c r="B89" s="12" t="s">
        <v>291</v>
      </c>
      <c r="C89" s="2" t="s">
        <v>231</v>
      </c>
      <c r="D89" s="2" t="s">
        <v>470</v>
      </c>
      <c r="E89" s="2" t="s">
        <v>244</v>
      </c>
      <c r="F89" s="2" t="s">
        <v>245</v>
      </c>
      <c r="G89" s="2">
        <v>2020</v>
      </c>
      <c r="H89" s="3">
        <v>59860</v>
      </c>
      <c r="I89" s="3">
        <v>10363</v>
      </c>
      <c r="J89" s="3">
        <v>8876</v>
      </c>
      <c r="K89" s="3">
        <v>8393</v>
      </c>
      <c r="L89" s="3">
        <v>7065</v>
      </c>
      <c r="M89" s="3">
        <v>5644</v>
      </c>
      <c r="N89" s="3">
        <v>4206</v>
      </c>
      <c r="O89" s="3">
        <v>3529</v>
      </c>
      <c r="P89" s="3">
        <v>2952</v>
      </c>
      <c r="Q89" s="3">
        <v>2494</v>
      </c>
      <c r="R89" s="3">
        <v>1788</v>
      </c>
      <c r="S89" s="3">
        <v>1301</v>
      </c>
      <c r="T89" s="3">
        <v>887</v>
      </c>
      <c r="U89" s="3">
        <v>740</v>
      </c>
      <c r="V89" s="3">
        <v>615</v>
      </c>
      <c r="W89" s="3">
        <v>432</v>
      </c>
      <c r="X89" s="3">
        <v>316</v>
      </c>
      <c r="Y89" s="3">
        <v>259</v>
      </c>
      <c r="Z89" s="3">
        <v>30044</v>
      </c>
      <c r="AA89" s="3">
        <v>5217</v>
      </c>
      <c r="AB89" s="3">
        <v>4506</v>
      </c>
      <c r="AC89" s="3">
        <v>4322</v>
      </c>
      <c r="AD89" s="3">
        <v>3699</v>
      </c>
      <c r="AE89" s="3">
        <v>2942</v>
      </c>
      <c r="AF89" s="3">
        <v>2099</v>
      </c>
      <c r="AG89" s="3">
        <v>1732</v>
      </c>
      <c r="AH89" s="3">
        <v>1440</v>
      </c>
      <c r="AI89" s="3">
        <v>1219</v>
      </c>
      <c r="AJ89" s="3">
        <v>889</v>
      </c>
      <c r="AK89" s="3">
        <v>611</v>
      </c>
      <c r="AL89" s="3">
        <v>433</v>
      </c>
      <c r="AM89" s="3">
        <v>301</v>
      </c>
      <c r="AN89" s="3">
        <v>253</v>
      </c>
      <c r="AO89" s="3">
        <v>178</v>
      </c>
      <c r="AP89" s="3">
        <v>111</v>
      </c>
      <c r="AQ89" s="3">
        <v>92</v>
      </c>
      <c r="AR89" s="3">
        <v>29816</v>
      </c>
      <c r="AS89" s="3">
        <v>5146</v>
      </c>
      <c r="AT89" s="3">
        <v>4370</v>
      </c>
      <c r="AU89" s="3">
        <v>4071</v>
      </c>
      <c r="AV89" s="3">
        <v>3366</v>
      </c>
      <c r="AW89" s="3">
        <v>2702</v>
      </c>
      <c r="AX89" s="3">
        <v>2107</v>
      </c>
      <c r="AY89" s="3">
        <v>1797</v>
      </c>
      <c r="AZ89" s="3">
        <v>1512</v>
      </c>
      <c r="BA89" s="3">
        <v>1275</v>
      </c>
      <c r="BB89" s="3">
        <v>899</v>
      </c>
      <c r="BC89" s="3">
        <v>690</v>
      </c>
      <c r="BD89" s="3">
        <v>454</v>
      </c>
      <c r="BE89" s="3">
        <v>439</v>
      </c>
      <c r="BF89" s="3">
        <v>362</v>
      </c>
      <c r="BG89" s="3">
        <v>254</v>
      </c>
      <c r="BH89" s="3">
        <v>205</v>
      </c>
      <c r="BI89" s="3">
        <v>167</v>
      </c>
    </row>
    <row r="90" spans="1:61" x14ac:dyDescent="0.25">
      <c r="A90" s="12" t="s">
        <v>3</v>
      </c>
      <c r="B90" s="12" t="s">
        <v>291</v>
      </c>
      <c r="C90" s="2" t="s">
        <v>231</v>
      </c>
      <c r="D90" s="2" t="s">
        <v>470</v>
      </c>
      <c r="E90" s="2" t="s">
        <v>244</v>
      </c>
      <c r="F90" s="2" t="s">
        <v>246</v>
      </c>
      <c r="G90" s="2">
        <v>2020</v>
      </c>
      <c r="H90" s="3">
        <v>77036</v>
      </c>
      <c r="I90" s="3">
        <v>14501</v>
      </c>
      <c r="J90" s="3">
        <v>12315</v>
      </c>
      <c r="K90" s="3">
        <v>10555</v>
      </c>
      <c r="L90" s="3">
        <v>8604</v>
      </c>
      <c r="M90" s="3">
        <v>7040</v>
      </c>
      <c r="N90" s="3">
        <v>5206</v>
      </c>
      <c r="O90" s="3">
        <v>4363</v>
      </c>
      <c r="P90" s="3">
        <v>3586</v>
      </c>
      <c r="Q90" s="3">
        <v>2961</v>
      </c>
      <c r="R90" s="3">
        <v>2290</v>
      </c>
      <c r="S90" s="3">
        <v>1632</v>
      </c>
      <c r="T90" s="3">
        <v>1117</v>
      </c>
      <c r="U90" s="3">
        <v>936</v>
      </c>
      <c r="V90" s="3">
        <v>735</v>
      </c>
      <c r="W90" s="3">
        <v>514</v>
      </c>
      <c r="X90" s="3">
        <v>375</v>
      </c>
      <c r="Y90" s="3">
        <v>306</v>
      </c>
      <c r="Z90" s="3">
        <v>38558</v>
      </c>
      <c r="AA90" s="3">
        <v>7320</v>
      </c>
      <c r="AB90" s="3">
        <v>6257</v>
      </c>
      <c r="AC90" s="3">
        <v>5453</v>
      </c>
      <c r="AD90" s="3">
        <v>4429</v>
      </c>
      <c r="AE90" s="3">
        <v>3612</v>
      </c>
      <c r="AF90" s="3">
        <v>2629</v>
      </c>
      <c r="AG90" s="3">
        <v>2144</v>
      </c>
      <c r="AH90" s="3">
        <v>1748</v>
      </c>
      <c r="AI90" s="3">
        <v>1400</v>
      </c>
      <c r="AJ90" s="3">
        <v>1053</v>
      </c>
      <c r="AK90" s="3">
        <v>796</v>
      </c>
      <c r="AL90" s="3">
        <v>539</v>
      </c>
      <c r="AM90" s="3">
        <v>374</v>
      </c>
      <c r="AN90" s="3">
        <v>323</v>
      </c>
      <c r="AO90" s="3">
        <v>224</v>
      </c>
      <c r="AP90" s="3">
        <v>141</v>
      </c>
      <c r="AQ90" s="3">
        <v>116</v>
      </c>
      <c r="AR90" s="3">
        <v>38478</v>
      </c>
      <c r="AS90" s="3">
        <v>7181</v>
      </c>
      <c r="AT90" s="3">
        <v>6058</v>
      </c>
      <c r="AU90" s="3">
        <v>5102</v>
      </c>
      <c r="AV90" s="3">
        <v>4175</v>
      </c>
      <c r="AW90" s="3">
        <v>3428</v>
      </c>
      <c r="AX90" s="3">
        <v>2577</v>
      </c>
      <c r="AY90" s="3">
        <v>2219</v>
      </c>
      <c r="AZ90" s="3">
        <v>1838</v>
      </c>
      <c r="BA90" s="3">
        <v>1561</v>
      </c>
      <c r="BB90" s="3">
        <v>1237</v>
      </c>
      <c r="BC90" s="3">
        <v>836</v>
      </c>
      <c r="BD90" s="3">
        <v>578</v>
      </c>
      <c r="BE90" s="3">
        <v>562</v>
      </c>
      <c r="BF90" s="3">
        <v>412</v>
      </c>
      <c r="BG90" s="3">
        <v>290</v>
      </c>
      <c r="BH90" s="3">
        <v>234</v>
      </c>
      <c r="BI90" s="3">
        <v>190</v>
      </c>
    </row>
    <row r="91" spans="1:61" x14ac:dyDescent="0.25">
      <c r="A91" s="12" t="s">
        <v>3</v>
      </c>
      <c r="B91" s="12" t="s">
        <v>291</v>
      </c>
      <c r="C91" s="2" t="s">
        <v>231</v>
      </c>
      <c r="D91" s="2" t="s">
        <v>470</v>
      </c>
      <c r="E91" s="2" t="s">
        <v>244</v>
      </c>
      <c r="F91" s="2" t="s">
        <v>244</v>
      </c>
      <c r="G91" s="2">
        <v>2020</v>
      </c>
      <c r="H91" s="3">
        <v>120678</v>
      </c>
      <c r="I91" s="3">
        <v>19062</v>
      </c>
      <c r="J91" s="3">
        <v>16913</v>
      </c>
      <c r="K91" s="3">
        <v>15333</v>
      </c>
      <c r="L91" s="3">
        <v>14458</v>
      </c>
      <c r="M91" s="3">
        <v>13007</v>
      </c>
      <c r="N91" s="3">
        <v>10726</v>
      </c>
      <c r="O91" s="3">
        <v>8858</v>
      </c>
      <c r="P91" s="3">
        <v>7208</v>
      </c>
      <c r="Q91" s="3">
        <v>5587</v>
      </c>
      <c r="R91" s="3">
        <v>3721</v>
      </c>
      <c r="S91" s="3">
        <v>2329</v>
      </c>
      <c r="T91" s="3">
        <v>1363</v>
      </c>
      <c r="U91" s="3">
        <v>832</v>
      </c>
      <c r="V91" s="3">
        <v>488</v>
      </c>
      <c r="W91" s="3">
        <v>341</v>
      </c>
      <c r="X91" s="3">
        <v>249</v>
      </c>
      <c r="Y91" s="3">
        <v>203</v>
      </c>
      <c r="Z91" s="3">
        <v>61286</v>
      </c>
      <c r="AA91" s="3">
        <v>9655</v>
      </c>
      <c r="AB91" s="3">
        <v>8433</v>
      </c>
      <c r="AC91" s="3">
        <v>7417</v>
      </c>
      <c r="AD91" s="3">
        <v>7093</v>
      </c>
      <c r="AE91" s="3">
        <v>6654</v>
      </c>
      <c r="AF91" s="3">
        <v>5475</v>
      </c>
      <c r="AG91" s="3">
        <v>4609</v>
      </c>
      <c r="AH91" s="3">
        <v>3800</v>
      </c>
      <c r="AI91" s="3">
        <v>3060</v>
      </c>
      <c r="AJ91" s="3">
        <v>2095</v>
      </c>
      <c r="AK91" s="3">
        <v>1331</v>
      </c>
      <c r="AL91" s="3">
        <v>734</v>
      </c>
      <c r="AM91" s="3">
        <v>390</v>
      </c>
      <c r="AN91" s="3">
        <v>217</v>
      </c>
      <c r="AO91" s="3">
        <v>150</v>
      </c>
      <c r="AP91" s="3">
        <v>95</v>
      </c>
      <c r="AQ91" s="3">
        <v>78</v>
      </c>
      <c r="AR91" s="3">
        <v>59392</v>
      </c>
      <c r="AS91" s="3">
        <v>9407</v>
      </c>
      <c r="AT91" s="3">
        <v>8480</v>
      </c>
      <c r="AU91" s="3">
        <v>7916</v>
      </c>
      <c r="AV91" s="3">
        <v>7365</v>
      </c>
      <c r="AW91" s="3">
        <v>6353</v>
      </c>
      <c r="AX91" s="3">
        <v>5251</v>
      </c>
      <c r="AY91" s="3">
        <v>4249</v>
      </c>
      <c r="AZ91" s="3">
        <v>3408</v>
      </c>
      <c r="BA91" s="3">
        <v>2527</v>
      </c>
      <c r="BB91" s="3">
        <v>1626</v>
      </c>
      <c r="BC91" s="3">
        <v>998</v>
      </c>
      <c r="BD91" s="3">
        <v>629</v>
      </c>
      <c r="BE91" s="3">
        <v>442</v>
      </c>
      <c r="BF91" s="3">
        <v>271</v>
      </c>
      <c r="BG91" s="3">
        <v>191</v>
      </c>
      <c r="BH91" s="3">
        <v>154</v>
      </c>
      <c r="BI91" s="3">
        <v>125</v>
      </c>
    </row>
    <row r="92" spans="1:61" x14ac:dyDescent="0.25">
      <c r="A92" s="12" t="s">
        <v>3</v>
      </c>
      <c r="B92" s="12" t="s">
        <v>291</v>
      </c>
      <c r="C92" s="2" t="s">
        <v>199</v>
      </c>
      <c r="D92" s="2" t="s">
        <v>446</v>
      </c>
      <c r="E92" s="2" t="s">
        <v>208</v>
      </c>
      <c r="F92" s="2" t="s">
        <v>208</v>
      </c>
      <c r="G92" s="2">
        <v>2020</v>
      </c>
      <c r="H92" s="3">
        <v>146843</v>
      </c>
      <c r="I92" s="3">
        <v>28279</v>
      </c>
      <c r="J92" s="3">
        <v>24186</v>
      </c>
      <c r="K92" s="3">
        <v>19645</v>
      </c>
      <c r="L92" s="3">
        <v>16071</v>
      </c>
      <c r="M92" s="3">
        <v>12889</v>
      </c>
      <c r="N92" s="3">
        <v>9702</v>
      </c>
      <c r="O92" s="3">
        <v>7577</v>
      </c>
      <c r="P92" s="3">
        <v>6976</v>
      </c>
      <c r="Q92" s="3">
        <v>5856</v>
      </c>
      <c r="R92" s="3">
        <v>4705</v>
      </c>
      <c r="S92" s="3">
        <v>3208</v>
      </c>
      <c r="T92" s="3">
        <v>2637</v>
      </c>
      <c r="U92" s="3">
        <v>1860</v>
      </c>
      <c r="V92" s="3">
        <v>1226</v>
      </c>
      <c r="W92" s="3">
        <v>1014</v>
      </c>
      <c r="X92" s="3">
        <v>582</v>
      </c>
      <c r="Y92" s="3">
        <v>430</v>
      </c>
      <c r="Z92" s="3">
        <v>73339</v>
      </c>
      <c r="AA92" s="3">
        <v>14201</v>
      </c>
      <c r="AB92" s="3">
        <v>12007</v>
      </c>
      <c r="AC92" s="3">
        <v>9940</v>
      </c>
      <c r="AD92" s="3">
        <v>8030</v>
      </c>
      <c r="AE92" s="3">
        <v>6503</v>
      </c>
      <c r="AF92" s="3">
        <v>4878</v>
      </c>
      <c r="AG92" s="3">
        <v>3802</v>
      </c>
      <c r="AH92" s="3">
        <v>3350</v>
      </c>
      <c r="AI92" s="3">
        <v>2826</v>
      </c>
      <c r="AJ92" s="3">
        <v>2486</v>
      </c>
      <c r="AK92" s="3">
        <v>1648</v>
      </c>
      <c r="AL92" s="3">
        <v>1315</v>
      </c>
      <c r="AM92" s="3">
        <v>832</v>
      </c>
      <c r="AN92" s="3">
        <v>565</v>
      </c>
      <c r="AO92" s="3">
        <v>459</v>
      </c>
      <c r="AP92" s="3">
        <v>298</v>
      </c>
      <c r="AQ92" s="3">
        <v>199</v>
      </c>
      <c r="AR92" s="3">
        <v>73504</v>
      </c>
      <c r="AS92" s="3">
        <v>14078</v>
      </c>
      <c r="AT92" s="3">
        <v>12179</v>
      </c>
      <c r="AU92" s="3">
        <v>9705</v>
      </c>
      <c r="AV92" s="3">
        <v>8041</v>
      </c>
      <c r="AW92" s="3">
        <v>6386</v>
      </c>
      <c r="AX92" s="3">
        <v>4824</v>
      </c>
      <c r="AY92" s="3">
        <v>3775</v>
      </c>
      <c r="AZ92" s="3">
        <v>3626</v>
      </c>
      <c r="BA92" s="3">
        <v>3030</v>
      </c>
      <c r="BB92" s="3">
        <v>2219</v>
      </c>
      <c r="BC92" s="3">
        <v>1560</v>
      </c>
      <c r="BD92" s="3">
        <v>1322</v>
      </c>
      <c r="BE92" s="3">
        <v>1028</v>
      </c>
      <c r="BF92" s="3">
        <v>661</v>
      </c>
      <c r="BG92" s="3">
        <v>555</v>
      </c>
      <c r="BH92" s="3">
        <v>284</v>
      </c>
      <c r="BI92" s="3">
        <v>231</v>
      </c>
    </row>
    <row r="93" spans="1:61" x14ac:dyDescent="0.25">
      <c r="A93" s="12" t="s">
        <v>3</v>
      </c>
      <c r="B93" s="12" t="s">
        <v>291</v>
      </c>
      <c r="C93" s="2" t="s">
        <v>199</v>
      </c>
      <c r="D93" s="2" t="s">
        <v>446</v>
      </c>
      <c r="E93" s="2" t="s">
        <v>208</v>
      </c>
      <c r="F93" s="2" t="s">
        <v>209</v>
      </c>
      <c r="G93" s="2">
        <v>2020</v>
      </c>
      <c r="H93" s="3">
        <v>120799</v>
      </c>
      <c r="I93" s="3">
        <v>24398</v>
      </c>
      <c r="J93" s="3">
        <v>20525</v>
      </c>
      <c r="K93" s="3">
        <v>16218</v>
      </c>
      <c r="L93" s="3">
        <v>12285</v>
      </c>
      <c r="M93" s="3">
        <v>9813</v>
      </c>
      <c r="N93" s="3">
        <v>8141</v>
      </c>
      <c r="O93" s="3">
        <v>6003</v>
      </c>
      <c r="P93" s="3">
        <v>5476</v>
      </c>
      <c r="Q93" s="3">
        <v>4859</v>
      </c>
      <c r="R93" s="3">
        <v>3803</v>
      </c>
      <c r="S93" s="3">
        <v>2694</v>
      </c>
      <c r="T93" s="3">
        <v>1972</v>
      </c>
      <c r="U93" s="3">
        <v>1609</v>
      </c>
      <c r="V93" s="3">
        <v>1135</v>
      </c>
      <c r="W93" s="3">
        <v>936</v>
      </c>
      <c r="X93" s="3">
        <v>538</v>
      </c>
      <c r="Y93" s="3">
        <v>394</v>
      </c>
      <c r="Z93" s="3">
        <v>60985</v>
      </c>
      <c r="AA93" s="3">
        <v>12519</v>
      </c>
      <c r="AB93" s="3">
        <v>10487</v>
      </c>
      <c r="AC93" s="3">
        <v>8387</v>
      </c>
      <c r="AD93" s="3">
        <v>6153</v>
      </c>
      <c r="AE93" s="3">
        <v>4902</v>
      </c>
      <c r="AF93" s="3">
        <v>4063</v>
      </c>
      <c r="AG93" s="3">
        <v>2995</v>
      </c>
      <c r="AH93" s="3">
        <v>2570</v>
      </c>
      <c r="AI93" s="3">
        <v>2524</v>
      </c>
      <c r="AJ93" s="3">
        <v>1937</v>
      </c>
      <c r="AK93" s="3">
        <v>1362</v>
      </c>
      <c r="AL93" s="3">
        <v>990</v>
      </c>
      <c r="AM93" s="3">
        <v>671</v>
      </c>
      <c r="AN93" s="3">
        <v>530</v>
      </c>
      <c r="AO93" s="3">
        <v>430</v>
      </c>
      <c r="AP93" s="3">
        <v>279</v>
      </c>
      <c r="AQ93" s="3">
        <v>186</v>
      </c>
      <c r="AR93" s="3">
        <v>59814</v>
      </c>
      <c r="AS93" s="3">
        <v>11879</v>
      </c>
      <c r="AT93" s="3">
        <v>10038</v>
      </c>
      <c r="AU93" s="3">
        <v>7831</v>
      </c>
      <c r="AV93" s="3">
        <v>6132</v>
      </c>
      <c r="AW93" s="3">
        <v>4911</v>
      </c>
      <c r="AX93" s="3">
        <v>4078</v>
      </c>
      <c r="AY93" s="3">
        <v>3008</v>
      </c>
      <c r="AZ93" s="3">
        <v>2906</v>
      </c>
      <c r="BA93" s="3">
        <v>2335</v>
      </c>
      <c r="BB93" s="3">
        <v>1866</v>
      </c>
      <c r="BC93" s="3">
        <v>1332</v>
      </c>
      <c r="BD93" s="3">
        <v>982</v>
      </c>
      <c r="BE93" s="3">
        <v>938</v>
      </c>
      <c r="BF93" s="3">
        <v>605</v>
      </c>
      <c r="BG93" s="3">
        <v>506</v>
      </c>
      <c r="BH93" s="3">
        <v>259</v>
      </c>
      <c r="BI93" s="3">
        <v>208</v>
      </c>
    </row>
    <row r="94" spans="1:61" x14ac:dyDescent="0.25">
      <c r="A94" s="12" t="s">
        <v>3</v>
      </c>
      <c r="B94" s="12" t="s">
        <v>291</v>
      </c>
      <c r="C94" s="2" t="s">
        <v>158</v>
      </c>
      <c r="D94" s="2" t="s">
        <v>363</v>
      </c>
      <c r="E94" s="2" t="s">
        <v>165</v>
      </c>
      <c r="F94" s="2" t="s">
        <v>166</v>
      </c>
      <c r="G94" s="2">
        <v>2020</v>
      </c>
      <c r="H94" s="3">
        <v>63134</v>
      </c>
      <c r="I94" s="3">
        <v>12954</v>
      </c>
      <c r="J94" s="3">
        <v>11009</v>
      </c>
      <c r="K94" s="3">
        <v>8695</v>
      </c>
      <c r="L94" s="3">
        <v>6377</v>
      </c>
      <c r="M94" s="3">
        <v>4800</v>
      </c>
      <c r="N94" s="3">
        <v>4007</v>
      </c>
      <c r="O94" s="3">
        <v>3369</v>
      </c>
      <c r="P94" s="3">
        <v>3008</v>
      </c>
      <c r="Q94" s="3">
        <v>2554</v>
      </c>
      <c r="R94" s="3">
        <v>1886</v>
      </c>
      <c r="S94" s="3">
        <v>1401</v>
      </c>
      <c r="T94" s="3">
        <v>926</v>
      </c>
      <c r="U94" s="3">
        <v>875</v>
      </c>
      <c r="V94" s="3">
        <v>552</v>
      </c>
      <c r="W94" s="3">
        <v>424</v>
      </c>
      <c r="X94" s="3">
        <v>197</v>
      </c>
      <c r="Y94" s="3">
        <v>100</v>
      </c>
      <c r="Z94" s="3">
        <v>31467</v>
      </c>
      <c r="AA94" s="3">
        <v>6484</v>
      </c>
      <c r="AB94" s="3">
        <v>5534</v>
      </c>
      <c r="AC94" s="3">
        <v>4397</v>
      </c>
      <c r="AD94" s="3">
        <v>3216</v>
      </c>
      <c r="AE94" s="3">
        <v>2252</v>
      </c>
      <c r="AF94" s="3">
        <v>2025</v>
      </c>
      <c r="AG94" s="3">
        <v>1651</v>
      </c>
      <c r="AH94" s="3">
        <v>1462</v>
      </c>
      <c r="AI94" s="3">
        <v>1294</v>
      </c>
      <c r="AJ94" s="3">
        <v>965</v>
      </c>
      <c r="AK94" s="3">
        <v>768</v>
      </c>
      <c r="AL94" s="3">
        <v>448</v>
      </c>
      <c r="AM94" s="3">
        <v>359</v>
      </c>
      <c r="AN94" s="3">
        <v>263</v>
      </c>
      <c r="AO94" s="3">
        <v>183</v>
      </c>
      <c r="AP94" s="3">
        <v>116</v>
      </c>
      <c r="AQ94" s="3">
        <v>50</v>
      </c>
      <c r="AR94" s="3">
        <v>31667</v>
      </c>
      <c r="AS94" s="3">
        <v>6470</v>
      </c>
      <c r="AT94" s="3">
        <v>5475</v>
      </c>
      <c r="AU94" s="3">
        <v>4298</v>
      </c>
      <c r="AV94" s="3">
        <v>3161</v>
      </c>
      <c r="AW94" s="3">
        <v>2548</v>
      </c>
      <c r="AX94" s="3">
        <v>1982</v>
      </c>
      <c r="AY94" s="3">
        <v>1718</v>
      </c>
      <c r="AZ94" s="3">
        <v>1546</v>
      </c>
      <c r="BA94" s="3">
        <v>1260</v>
      </c>
      <c r="BB94" s="3">
        <v>921</v>
      </c>
      <c r="BC94" s="3">
        <v>633</v>
      </c>
      <c r="BD94" s="3">
        <v>478</v>
      </c>
      <c r="BE94" s="3">
        <v>516</v>
      </c>
      <c r="BF94" s="3">
        <v>289</v>
      </c>
      <c r="BG94" s="3">
        <v>241</v>
      </c>
      <c r="BH94" s="3">
        <v>81</v>
      </c>
      <c r="BI94" s="3">
        <v>50</v>
      </c>
    </row>
    <row r="95" spans="1:61" x14ac:dyDescent="0.25">
      <c r="A95" s="12" t="s">
        <v>3</v>
      </c>
      <c r="B95" s="12" t="s">
        <v>291</v>
      </c>
      <c r="C95" s="2" t="s">
        <v>96</v>
      </c>
      <c r="D95" s="2" t="s">
        <v>290</v>
      </c>
      <c r="E95" s="2" t="s">
        <v>105</v>
      </c>
      <c r="F95" s="2" t="s">
        <v>106</v>
      </c>
      <c r="G95" s="2">
        <v>2020</v>
      </c>
      <c r="H95" s="3">
        <v>190695</v>
      </c>
      <c r="I95" s="3">
        <v>36513</v>
      </c>
      <c r="J95" s="3">
        <v>30254</v>
      </c>
      <c r="K95" s="3">
        <v>24988</v>
      </c>
      <c r="L95" s="3">
        <v>20261</v>
      </c>
      <c r="M95" s="3">
        <v>17181</v>
      </c>
      <c r="N95" s="3">
        <v>14497</v>
      </c>
      <c r="O95" s="3">
        <v>11363</v>
      </c>
      <c r="P95" s="3">
        <v>9670</v>
      </c>
      <c r="Q95" s="3">
        <v>7944</v>
      </c>
      <c r="R95" s="3">
        <v>5474</v>
      </c>
      <c r="S95" s="3">
        <v>3993</v>
      </c>
      <c r="T95" s="3">
        <v>2807</v>
      </c>
      <c r="U95" s="3">
        <v>2184</v>
      </c>
      <c r="V95" s="3">
        <v>1444</v>
      </c>
      <c r="W95" s="3">
        <v>1040</v>
      </c>
      <c r="X95" s="3">
        <v>665</v>
      </c>
      <c r="Y95" s="3">
        <v>417</v>
      </c>
      <c r="Z95" s="3">
        <v>96858</v>
      </c>
      <c r="AA95" s="3">
        <v>18229</v>
      </c>
      <c r="AB95" s="3">
        <v>15269</v>
      </c>
      <c r="AC95" s="3">
        <v>12347</v>
      </c>
      <c r="AD95" s="3">
        <v>9918</v>
      </c>
      <c r="AE95" s="3">
        <v>8661</v>
      </c>
      <c r="AF95" s="3">
        <v>7501</v>
      </c>
      <c r="AG95" s="3">
        <v>5938</v>
      </c>
      <c r="AH95" s="3">
        <v>5158</v>
      </c>
      <c r="AI95" s="3">
        <v>4228</v>
      </c>
      <c r="AJ95" s="3">
        <v>3001</v>
      </c>
      <c r="AK95" s="3">
        <v>2257</v>
      </c>
      <c r="AL95" s="3">
        <v>1485</v>
      </c>
      <c r="AM95" s="3">
        <v>1030</v>
      </c>
      <c r="AN95" s="3">
        <v>755</v>
      </c>
      <c r="AO95" s="3">
        <v>571</v>
      </c>
      <c r="AP95" s="3">
        <v>321</v>
      </c>
      <c r="AQ95" s="3">
        <v>189</v>
      </c>
      <c r="AR95" s="3">
        <v>93837</v>
      </c>
      <c r="AS95" s="3">
        <v>18284</v>
      </c>
      <c r="AT95" s="3">
        <v>14985</v>
      </c>
      <c r="AU95" s="3">
        <v>12641</v>
      </c>
      <c r="AV95" s="3">
        <v>10343</v>
      </c>
      <c r="AW95" s="3">
        <v>8520</v>
      </c>
      <c r="AX95" s="3">
        <v>6996</v>
      </c>
      <c r="AY95" s="3">
        <v>5425</v>
      </c>
      <c r="AZ95" s="3">
        <v>4512</v>
      </c>
      <c r="BA95" s="3">
        <v>3716</v>
      </c>
      <c r="BB95" s="3">
        <v>2473</v>
      </c>
      <c r="BC95" s="3">
        <v>1736</v>
      </c>
      <c r="BD95" s="3">
        <v>1322</v>
      </c>
      <c r="BE95" s="3">
        <v>1154</v>
      </c>
      <c r="BF95" s="3">
        <v>689</v>
      </c>
      <c r="BG95" s="3">
        <v>469</v>
      </c>
      <c r="BH95" s="3">
        <v>344</v>
      </c>
      <c r="BI95" s="3">
        <v>228</v>
      </c>
    </row>
    <row r="96" spans="1:61" x14ac:dyDescent="0.25">
      <c r="A96" s="12" t="s">
        <v>3</v>
      </c>
      <c r="B96" s="12" t="s">
        <v>291</v>
      </c>
      <c r="C96" s="2" t="s">
        <v>96</v>
      </c>
      <c r="D96" s="2" t="s">
        <v>290</v>
      </c>
      <c r="E96" s="2" t="s">
        <v>105</v>
      </c>
      <c r="F96" s="2" t="s">
        <v>107</v>
      </c>
      <c r="G96" s="2">
        <v>2020</v>
      </c>
      <c r="H96" s="3">
        <v>27632</v>
      </c>
      <c r="I96" s="3">
        <v>5519</v>
      </c>
      <c r="J96" s="3">
        <v>4572</v>
      </c>
      <c r="K96" s="3">
        <v>3687</v>
      </c>
      <c r="L96" s="3">
        <v>2842</v>
      </c>
      <c r="M96" s="3">
        <v>2280</v>
      </c>
      <c r="N96" s="3">
        <v>1869</v>
      </c>
      <c r="O96" s="3">
        <v>1480</v>
      </c>
      <c r="P96" s="3">
        <v>1348</v>
      </c>
      <c r="Q96" s="3">
        <v>1224</v>
      </c>
      <c r="R96" s="3">
        <v>886</v>
      </c>
      <c r="S96" s="3">
        <v>581</v>
      </c>
      <c r="T96" s="3">
        <v>400</v>
      </c>
      <c r="U96" s="3">
        <v>348</v>
      </c>
      <c r="V96" s="3">
        <v>242</v>
      </c>
      <c r="W96" s="3">
        <v>174</v>
      </c>
      <c r="X96" s="3">
        <v>111</v>
      </c>
      <c r="Y96" s="3">
        <v>69</v>
      </c>
      <c r="Z96" s="3">
        <v>14155</v>
      </c>
      <c r="AA96" s="3">
        <v>2800</v>
      </c>
      <c r="AB96" s="3">
        <v>2333</v>
      </c>
      <c r="AC96" s="3">
        <v>1885</v>
      </c>
      <c r="AD96" s="3">
        <v>1452</v>
      </c>
      <c r="AE96" s="3">
        <v>1169</v>
      </c>
      <c r="AF96" s="3">
        <v>977</v>
      </c>
      <c r="AG96" s="3">
        <v>769</v>
      </c>
      <c r="AH96" s="3">
        <v>644</v>
      </c>
      <c r="AI96" s="3">
        <v>643</v>
      </c>
      <c r="AJ96" s="3">
        <v>482</v>
      </c>
      <c r="AK96" s="3">
        <v>342</v>
      </c>
      <c r="AL96" s="3">
        <v>203</v>
      </c>
      <c r="AM96" s="3">
        <v>149</v>
      </c>
      <c r="AN96" s="3">
        <v>127</v>
      </c>
      <c r="AO96" s="3">
        <v>95</v>
      </c>
      <c r="AP96" s="3">
        <v>54</v>
      </c>
      <c r="AQ96" s="3">
        <v>31</v>
      </c>
      <c r="AR96" s="3">
        <v>13477</v>
      </c>
      <c r="AS96" s="3">
        <v>2719</v>
      </c>
      <c r="AT96" s="3">
        <v>2239</v>
      </c>
      <c r="AU96" s="3">
        <v>1802</v>
      </c>
      <c r="AV96" s="3">
        <v>1390</v>
      </c>
      <c r="AW96" s="3">
        <v>1111</v>
      </c>
      <c r="AX96" s="3">
        <v>892</v>
      </c>
      <c r="AY96" s="3">
        <v>711</v>
      </c>
      <c r="AZ96" s="3">
        <v>704</v>
      </c>
      <c r="BA96" s="3">
        <v>581</v>
      </c>
      <c r="BB96" s="3">
        <v>404</v>
      </c>
      <c r="BC96" s="3">
        <v>239</v>
      </c>
      <c r="BD96" s="3">
        <v>197</v>
      </c>
      <c r="BE96" s="3">
        <v>199</v>
      </c>
      <c r="BF96" s="3">
        <v>115</v>
      </c>
      <c r="BG96" s="3">
        <v>79</v>
      </c>
      <c r="BH96" s="3">
        <v>57</v>
      </c>
      <c r="BI96" s="3">
        <v>38</v>
      </c>
    </row>
    <row r="97" spans="1:61" x14ac:dyDescent="0.25">
      <c r="A97" s="12" t="s">
        <v>3</v>
      </c>
      <c r="B97" s="12" t="s">
        <v>291</v>
      </c>
      <c r="C97" s="2" t="s">
        <v>253</v>
      </c>
      <c r="D97" s="2" t="s">
        <v>498</v>
      </c>
      <c r="E97" s="2" t="s">
        <v>264</v>
      </c>
      <c r="F97" s="2" t="s">
        <v>265</v>
      </c>
      <c r="G97" s="2">
        <v>2020</v>
      </c>
      <c r="H97" s="3">
        <v>59068</v>
      </c>
      <c r="I97" s="3">
        <v>11058</v>
      </c>
      <c r="J97" s="3">
        <v>9277</v>
      </c>
      <c r="K97" s="3">
        <v>7425</v>
      </c>
      <c r="L97" s="3">
        <v>5819</v>
      </c>
      <c r="M97" s="3">
        <v>4906</v>
      </c>
      <c r="N97" s="3">
        <v>3876</v>
      </c>
      <c r="O97" s="3">
        <v>3287</v>
      </c>
      <c r="P97" s="3">
        <v>2717</v>
      </c>
      <c r="Q97" s="3">
        <v>2332</v>
      </c>
      <c r="R97" s="3">
        <v>1846</v>
      </c>
      <c r="S97" s="3">
        <v>1468</v>
      </c>
      <c r="T97" s="3">
        <v>1305</v>
      </c>
      <c r="U97" s="3">
        <v>1062</v>
      </c>
      <c r="V97" s="3">
        <v>872</v>
      </c>
      <c r="W97" s="3">
        <v>770</v>
      </c>
      <c r="X97" s="3">
        <v>498</v>
      </c>
      <c r="Y97" s="3">
        <v>550</v>
      </c>
      <c r="Z97" s="3">
        <v>28452</v>
      </c>
      <c r="AA97" s="3">
        <v>5598</v>
      </c>
      <c r="AB97" s="3">
        <v>4753</v>
      </c>
      <c r="AC97" s="3">
        <v>3778</v>
      </c>
      <c r="AD97" s="3">
        <v>2946</v>
      </c>
      <c r="AE97" s="3">
        <v>2431</v>
      </c>
      <c r="AF97" s="3">
        <v>1886</v>
      </c>
      <c r="AG97" s="3">
        <v>1491</v>
      </c>
      <c r="AH97" s="3">
        <v>1270</v>
      </c>
      <c r="AI97" s="3">
        <v>1059</v>
      </c>
      <c r="AJ97" s="3">
        <v>791</v>
      </c>
      <c r="AK97" s="3">
        <v>615</v>
      </c>
      <c r="AL97" s="3">
        <v>500</v>
      </c>
      <c r="AM97" s="3">
        <v>335</v>
      </c>
      <c r="AN97" s="3">
        <v>336</v>
      </c>
      <c r="AO97" s="3">
        <v>306</v>
      </c>
      <c r="AP97" s="3">
        <v>183</v>
      </c>
      <c r="AQ97" s="3">
        <v>174</v>
      </c>
      <c r="AR97" s="3">
        <v>30616</v>
      </c>
      <c r="AS97" s="3">
        <v>5460</v>
      </c>
      <c r="AT97" s="3">
        <v>4524</v>
      </c>
      <c r="AU97" s="3">
        <v>3647</v>
      </c>
      <c r="AV97" s="3">
        <v>2873</v>
      </c>
      <c r="AW97" s="3">
        <v>2475</v>
      </c>
      <c r="AX97" s="3">
        <v>1990</v>
      </c>
      <c r="AY97" s="3">
        <v>1796</v>
      </c>
      <c r="AZ97" s="3">
        <v>1447</v>
      </c>
      <c r="BA97" s="3">
        <v>1273</v>
      </c>
      <c r="BB97" s="3">
        <v>1055</v>
      </c>
      <c r="BC97" s="3">
        <v>853</v>
      </c>
      <c r="BD97" s="3">
        <v>805</v>
      </c>
      <c r="BE97" s="3">
        <v>727</v>
      </c>
      <c r="BF97" s="3">
        <v>536</v>
      </c>
      <c r="BG97" s="3">
        <v>464</v>
      </c>
      <c r="BH97" s="3">
        <v>315</v>
      </c>
      <c r="BI97" s="3">
        <v>376</v>
      </c>
    </row>
    <row r="98" spans="1:61" x14ac:dyDescent="0.25">
      <c r="A98" s="12" t="s">
        <v>3</v>
      </c>
      <c r="B98" s="12" t="s">
        <v>291</v>
      </c>
      <c r="C98" s="2" t="s">
        <v>253</v>
      </c>
      <c r="D98" s="2" t="s">
        <v>498</v>
      </c>
      <c r="E98" s="2" t="s">
        <v>264</v>
      </c>
      <c r="F98" s="2" t="s">
        <v>264</v>
      </c>
      <c r="G98" s="2">
        <v>2020</v>
      </c>
      <c r="H98" s="3">
        <v>92484</v>
      </c>
      <c r="I98" s="3">
        <v>14831</v>
      </c>
      <c r="J98" s="3">
        <v>12656</v>
      </c>
      <c r="K98" s="3">
        <v>11283</v>
      </c>
      <c r="L98" s="3">
        <v>10574</v>
      </c>
      <c r="M98" s="3">
        <v>9419</v>
      </c>
      <c r="N98" s="3">
        <v>7335</v>
      </c>
      <c r="O98" s="3">
        <v>6069</v>
      </c>
      <c r="P98" s="3">
        <v>4885</v>
      </c>
      <c r="Q98" s="3">
        <v>4181</v>
      </c>
      <c r="R98" s="3">
        <v>3070</v>
      </c>
      <c r="S98" s="3">
        <v>2320</v>
      </c>
      <c r="T98" s="3">
        <v>1910</v>
      </c>
      <c r="U98" s="3">
        <v>1283</v>
      </c>
      <c r="V98" s="3">
        <v>862</v>
      </c>
      <c r="W98" s="3">
        <v>766</v>
      </c>
      <c r="X98" s="3">
        <v>494</v>
      </c>
      <c r="Y98" s="3">
        <v>546</v>
      </c>
      <c r="Z98" s="3">
        <v>44944</v>
      </c>
      <c r="AA98" s="3">
        <v>7462</v>
      </c>
      <c r="AB98" s="3">
        <v>6274</v>
      </c>
      <c r="AC98" s="3">
        <v>5692</v>
      </c>
      <c r="AD98" s="3">
        <v>5207</v>
      </c>
      <c r="AE98" s="3">
        <v>4639</v>
      </c>
      <c r="AF98" s="3">
        <v>3512</v>
      </c>
      <c r="AG98" s="3">
        <v>2963</v>
      </c>
      <c r="AH98" s="3">
        <v>2317</v>
      </c>
      <c r="AI98" s="3">
        <v>2011</v>
      </c>
      <c r="AJ98" s="3">
        <v>1490</v>
      </c>
      <c r="AK98" s="3">
        <v>1070</v>
      </c>
      <c r="AL98" s="3">
        <v>796</v>
      </c>
      <c r="AM98" s="3">
        <v>533</v>
      </c>
      <c r="AN98" s="3">
        <v>326</v>
      </c>
      <c r="AO98" s="3">
        <v>301</v>
      </c>
      <c r="AP98" s="3">
        <v>180</v>
      </c>
      <c r="AQ98" s="3">
        <v>171</v>
      </c>
      <c r="AR98" s="3">
        <v>47540</v>
      </c>
      <c r="AS98" s="3">
        <v>7369</v>
      </c>
      <c r="AT98" s="3">
        <v>6382</v>
      </c>
      <c r="AU98" s="3">
        <v>5591</v>
      </c>
      <c r="AV98" s="3">
        <v>5367</v>
      </c>
      <c r="AW98" s="3">
        <v>4780</v>
      </c>
      <c r="AX98" s="3">
        <v>3823</v>
      </c>
      <c r="AY98" s="3">
        <v>3106</v>
      </c>
      <c r="AZ98" s="3">
        <v>2568</v>
      </c>
      <c r="BA98" s="3">
        <v>2170</v>
      </c>
      <c r="BB98" s="3">
        <v>1580</v>
      </c>
      <c r="BC98" s="3">
        <v>1250</v>
      </c>
      <c r="BD98" s="3">
        <v>1114</v>
      </c>
      <c r="BE98" s="3">
        <v>750</v>
      </c>
      <c r="BF98" s="3">
        <v>536</v>
      </c>
      <c r="BG98" s="3">
        <v>465</v>
      </c>
      <c r="BH98" s="3">
        <v>314</v>
      </c>
      <c r="BI98" s="3">
        <v>375</v>
      </c>
    </row>
    <row r="99" spans="1:61" x14ac:dyDescent="0.25">
      <c r="A99" s="12" t="s">
        <v>3</v>
      </c>
      <c r="B99" s="12" t="s">
        <v>291</v>
      </c>
      <c r="C99" s="2" t="s">
        <v>253</v>
      </c>
      <c r="D99" s="2" t="s">
        <v>498</v>
      </c>
      <c r="E99" s="2" t="s">
        <v>264</v>
      </c>
      <c r="F99" s="2" t="s">
        <v>266</v>
      </c>
      <c r="G99" s="2">
        <v>2020</v>
      </c>
      <c r="H99" s="3">
        <v>43113</v>
      </c>
      <c r="I99" s="3">
        <v>8404</v>
      </c>
      <c r="J99" s="3">
        <v>7043</v>
      </c>
      <c r="K99" s="3">
        <v>5590</v>
      </c>
      <c r="L99" s="3">
        <v>4179</v>
      </c>
      <c r="M99" s="3">
        <v>3253</v>
      </c>
      <c r="N99" s="3">
        <v>2816</v>
      </c>
      <c r="O99" s="3">
        <v>2414</v>
      </c>
      <c r="P99" s="3">
        <v>2005</v>
      </c>
      <c r="Q99" s="3">
        <v>1799</v>
      </c>
      <c r="R99" s="3">
        <v>1298</v>
      </c>
      <c r="S99" s="3">
        <v>1047</v>
      </c>
      <c r="T99" s="3">
        <v>913</v>
      </c>
      <c r="U99" s="3">
        <v>771</v>
      </c>
      <c r="V99" s="3">
        <v>517</v>
      </c>
      <c r="W99" s="3">
        <v>454</v>
      </c>
      <c r="X99" s="3">
        <v>291</v>
      </c>
      <c r="Y99" s="3">
        <v>319</v>
      </c>
      <c r="Z99" s="3">
        <v>20788</v>
      </c>
      <c r="AA99" s="3">
        <v>4280</v>
      </c>
      <c r="AB99" s="3">
        <v>3572</v>
      </c>
      <c r="AC99" s="3">
        <v>2900</v>
      </c>
      <c r="AD99" s="3">
        <v>2121</v>
      </c>
      <c r="AE99" s="3">
        <v>1487</v>
      </c>
      <c r="AF99" s="3">
        <v>1324</v>
      </c>
      <c r="AG99" s="3">
        <v>1090</v>
      </c>
      <c r="AH99" s="3">
        <v>910</v>
      </c>
      <c r="AI99" s="3">
        <v>804</v>
      </c>
      <c r="AJ99" s="3">
        <v>584</v>
      </c>
      <c r="AK99" s="3">
        <v>439</v>
      </c>
      <c r="AL99" s="3">
        <v>360</v>
      </c>
      <c r="AM99" s="3">
        <v>259</v>
      </c>
      <c r="AN99" s="3">
        <v>223</v>
      </c>
      <c r="AO99" s="3">
        <v>201</v>
      </c>
      <c r="AP99" s="3">
        <v>120</v>
      </c>
      <c r="AQ99" s="3">
        <v>114</v>
      </c>
      <c r="AR99" s="3">
        <v>22325</v>
      </c>
      <c r="AS99" s="3">
        <v>4124</v>
      </c>
      <c r="AT99" s="3">
        <v>3471</v>
      </c>
      <c r="AU99" s="3">
        <v>2690</v>
      </c>
      <c r="AV99" s="3">
        <v>2058</v>
      </c>
      <c r="AW99" s="3">
        <v>1766</v>
      </c>
      <c r="AX99" s="3">
        <v>1492</v>
      </c>
      <c r="AY99" s="3">
        <v>1324</v>
      </c>
      <c r="AZ99" s="3">
        <v>1095</v>
      </c>
      <c r="BA99" s="3">
        <v>995</v>
      </c>
      <c r="BB99" s="3">
        <v>714</v>
      </c>
      <c r="BC99" s="3">
        <v>608</v>
      </c>
      <c r="BD99" s="3">
        <v>553</v>
      </c>
      <c r="BE99" s="3">
        <v>512</v>
      </c>
      <c r="BF99" s="3">
        <v>294</v>
      </c>
      <c r="BG99" s="3">
        <v>253</v>
      </c>
      <c r="BH99" s="3">
        <v>171</v>
      </c>
      <c r="BI99" s="3">
        <v>205</v>
      </c>
    </row>
    <row r="100" spans="1:61" x14ac:dyDescent="0.25">
      <c r="A100" s="12" t="s">
        <v>3</v>
      </c>
      <c r="B100" s="12" t="s">
        <v>291</v>
      </c>
      <c r="C100" s="2" t="s">
        <v>231</v>
      </c>
      <c r="D100" s="2" t="s">
        <v>470</v>
      </c>
      <c r="E100" s="2" t="s">
        <v>247</v>
      </c>
      <c r="F100" s="2" t="s">
        <v>248</v>
      </c>
      <c r="G100" s="2">
        <v>2020</v>
      </c>
      <c r="H100" s="3">
        <v>71559</v>
      </c>
      <c r="I100" s="3">
        <v>15035</v>
      </c>
      <c r="J100" s="3">
        <v>12310</v>
      </c>
      <c r="K100" s="3">
        <v>9585</v>
      </c>
      <c r="L100" s="3">
        <v>7514</v>
      </c>
      <c r="M100" s="3">
        <v>6091</v>
      </c>
      <c r="N100" s="3">
        <v>4146</v>
      </c>
      <c r="O100" s="3">
        <v>3717</v>
      </c>
      <c r="P100" s="3">
        <v>3245</v>
      </c>
      <c r="Q100" s="3">
        <v>2720</v>
      </c>
      <c r="R100" s="3">
        <v>1968</v>
      </c>
      <c r="S100" s="3">
        <v>1309</v>
      </c>
      <c r="T100" s="3">
        <v>1114</v>
      </c>
      <c r="U100" s="3">
        <v>799</v>
      </c>
      <c r="V100" s="3">
        <v>678</v>
      </c>
      <c r="W100" s="3">
        <v>579</v>
      </c>
      <c r="X100" s="3">
        <v>375</v>
      </c>
      <c r="Y100" s="3">
        <v>374</v>
      </c>
      <c r="Z100" s="3">
        <v>35355</v>
      </c>
      <c r="AA100" s="3">
        <v>7560</v>
      </c>
      <c r="AB100" s="3">
        <v>6283</v>
      </c>
      <c r="AC100" s="3">
        <v>4888</v>
      </c>
      <c r="AD100" s="3">
        <v>3903</v>
      </c>
      <c r="AE100" s="3">
        <v>3143</v>
      </c>
      <c r="AF100" s="3">
        <v>2005</v>
      </c>
      <c r="AG100" s="3">
        <v>1725</v>
      </c>
      <c r="AH100" s="3">
        <v>1527</v>
      </c>
      <c r="AI100" s="3">
        <v>1256</v>
      </c>
      <c r="AJ100" s="3">
        <v>958</v>
      </c>
      <c r="AK100" s="3">
        <v>598</v>
      </c>
      <c r="AL100" s="3">
        <v>459</v>
      </c>
      <c r="AM100" s="3">
        <v>304</v>
      </c>
      <c r="AN100" s="3">
        <v>277</v>
      </c>
      <c r="AO100" s="3">
        <v>217</v>
      </c>
      <c r="AP100" s="3">
        <v>134</v>
      </c>
      <c r="AQ100" s="3">
        <v>118</v>
      </c>
      <c r="AR100" s="3">
        <v>36204</v>
      </c>
      <c r="AS100" s="3">
        <v>7475</v>
      </c>
      <c r="AT100" s="3">
        <v>6027</v>
      </c>
      <c r="AU100" s="3">
        <v>4697</v>
      </c>
      <c r="AV100" s="3">
        <v>3611</v>
      </c>
      <c r="AW100" s="3">
        <v>2948</v>
      </c>
      <c r="AX100" s="3">
        <v>2141</v>
      </c>
      <c r="AY100" s="3">
        <v>1992</v>
      </c>
      <c r="AZ100" s="3">
        <v>1718</v>
      </c>
      <c r="BA100" s="3">
        <v>1464</v>
      </c>
      <c r="BB100" s="3">
        <v>1010</v>
      </c>
      <c r="BC100" s="3">
        <v>711</v>
      </c>
      <c r="BD100" s="3">
        <v>655</v>
      </c>
      <c r="BE100" s="3">
        <v>495</v>
      </c>
      <c r="BF100" s="3">
        <v>401</v>
      </c>
      <c r="BG100" s="3">
        <v>362</v>
      </c>
      <c r="BH100" s="3">
        <v>241</v>
      </c>
      <c r="BI100" s="3">
        <v>256</v>
      </c>
    </row>
    <row r="101" spans="1:61" x14ac:dyDescent="0.25">
      <c r="A101" s="12" t="s">
        <v>3</v>
      </c>
      <c r="B101" s="12" t="s">
        <v>291</v>
      </c>
      <c r="C101" s="2" t="s">
        <v>231</v>
      </c>
      <c r="D101" s="2" t="s">
        <v>470</v>
      </c>
      <c r="E101" s="2" t="s">
        <v>247</v>
      </c>
      <c r="F101" s="2" t="s">
        <v>247</v>
      </c>
      <c r="G101" s="2">
        <v>2020</v>
      </c>
      <c r="H101" s="3">
        <v>108931</v>
      </c>
      <c r="I101" s="3">
        <v>19749</v>
      </c>
      <c r="J101" s="3">
        <v>17034</v>
      </c>
      <c r="K101" s="3">
        <v>14417</v>
      </c>
      <c r="L101" s="3">
        <v>12750</v>
      </c>
      <c r="M101" s="3">
        <v>10755</v>
      </c>
      <c r="N101" s="3">
        <v>7471</v>
      </c>
      <c r="O101" s="3">
        <v>6249</v>
      </c>
      <c r="P101" s="3">
        <v>5174</v>
      </c>
      <c r="Q101" s="3">
        <v>4317</v>
      </c>
      <c r="R101" s="3">
        <v>3034</v>
      </c>
      <c r="S101" s="3">
        <v>2311</v>
      </c>
      <c r="T101" s="3">
        <v>1608</v>
      </c>
      <c r="U101" s="3">
        <v>1339</v>
      </c>
      <c r="V101" s="3">
        <v>915</v>
      </c>
      <c r="W101" s="3">
        <v>786</v>
      </c>
      <c r="X101" s="3">
        <v>511</v>
      </c>
      <c r="Y101" s="3">
        <v>511</v>
      </c>
      <c r="Z101" s="3">
        <v>54093</v>
      </c>
      <c r="AA101" s="3">
        <v>10157</v>
      </c>
      <c r="AB101" s="3">
        <v>8612</v>
      </c>
      <c r="AC101" s="3">
        <v>7377</v>
      </c>
      <c r="AD101" s="3">
        <v>6555</v>
      </c>
      <c r="AE101" s="3">
        <v>5519</v>
      </c>
      <c r="AF101" s="3">
        <v>3623</v>
      </c>
      <c r="AG101" s="3">
        <v>3044</v>
      </c>
      <c r="AH101" s="3">
        <v>2444</v>
      </c>
      <c r="AI101" s="3">
        <v>2024</v>
      </c>
      <c r="AJ101" s="3">
        <v>1459</v>
      </c>
      <c r="AK101" s="3">
        <v>1071</v>
      </c>
      <c r="AL101" s="3">
        <v>707</v>
      </c>
      <c r="AM101" s="3">
        <v>554</v>
      </c>
      <c r="AN101" s="3">
        <v>349</v>
      </c>
      <c r="AO101" s="3">
        <v>276</v>
      </c>
      <c r="AP101" s="3">
        <v>173</v>
      </c>
      <c r="AQ101" s="3">
        <v>149</v>
      </c>
      <c r="AR101" s="3">
        <v>54838</v>
      </c>
      <c r="AS101" s="3">
        <v>9592</v>
      </c>
      <c r="AT101" s="3">
        <v>8422</v>
      </c>
      <c r="AU101" s="3">
        <v>7040</v>
      </c>
      <c r="AV101" s="3">
        <v>6195</v>
      </c>
      <c r="AW101" s="3">
        <v>5236</v>
      </c>
      <c r="AX101" s="3">
        <v>3848</v>
      </c>
      <c r="AY101" s="3">
        <v>3205</v>
      </c>
      <c r="AZ101" s="3">
        <v>2730</v>
      </c>
      <c r="BA101" s="3">
        <v>2293</v>
      </c>
      <c r="BB101" s="3">
        <v>1575</v>
      </c>
      <c r="BC101" s="3">
        <v>1240</v>
      </c>
      <c r="BD101" s="3">
        <v>901</v>
      </c>
      <c r="BE101" s="3">
        <v>785</v>
      </c>
      <c r="BF101" s="3">
        <v>566</v>
      </c>
      <c r="BG101" s="3">
        <v>510</v>
      </c>
      <c r="BH101" s="3">
        <v>338</v>
      </c>
      <c r="BI101" s="3">
        <v>362</v>
      </c>
    </row>
    <row r="102" spans="1:61" x14ac:dyDescent="0.25">
      <c r="A102" s="12" t="s">
        <v>3</v>
      </c>
      <c r="B102" s="12" t="s">
        <v>291</v>
      </c>
      <c r="C102" s="2" t="s">
        <v>231</v>
      </c>
      <c r="D102" s="2" t="s">
        <v>470</v>
      </c>
      <c r="E102" s="2" t="s">
        <v>247</v>
      </c>
      <c r="F102" s="2" t="s">
        <v>249</v>
      </c>
      <c r="G102" s="2">
        <v>2020</v>
      </c>
      <c r="H102" s="3">
        <v>40146</v>
      </c>
      <c r="I102" s="3">
        <v>7849</v>
      </c>
      <c r="J102" s="3">
        <v>6894</v>
      </c>
      <c r="K102" s="3">
        <v>5739</v>
      </c>
      <c r="L102" s="3">
        <v>4478</v>
      </c>
      <c r="M102" s="3">
        <v>3306</v>
      </c>
      <c r="N102" s="3">
        <v>2308</v>
      </c>
      <c r="O102" s="3">
        <v>1999</v>
      </c>
      <c r="P102" s="3">
        <v>1664</v>
      </c>
      <c r="Q102" s="3">
        <v>1580</v>
      </c>
      <c r="R102" s="3">
        <v>1245</v>
      </c>
      <c r="S102" s="3">
        <v>779</v>
      </c>
      <c r="T102" s="3">
        <v>620</v>
      </c>
      <c r="U102" s="3">
        <v>479</v>
      </c>
      <c r="V102" s="3">
        <v>404</v>
      </c>
      <c r="W102" s="3">
        <v>348</v>
      </c>
      <c r="X102" s="3">
        <v>227</v>
      </c>
      <c r="Y102" s="3">
        <v>227</v>
      </c>
      <c r="Z102" s="3">
        <v>19944</v>
      </c>
      <c r="AA102" s="3">
        <v>3978</v>
      </c>
      <c r="AB102" s="3">
        <v>3486</v>
      </c>
      <c r="AC102" s="3">
        <v>3017</v>
      </c>
      <c r="AD102" s="3">
        <v>2381</v>
      </c>
      <c r="AE102" s="3">
        <v>1720</v>
      </c>
      <c r="AF102" s="3">
        <v>1119</v>
      </c>
      <c r="AG102" s="3">
        <v>939</v>
      </c>
      <c r="AH102" s="3">
        <v>751</v>
      </c>
      <c r="AI102" s="3">
        <v>700</v>
      </c>
      <c r="AJ102" s="3">
        <v>650</v>
      </c>
      <c r="AK102" s="3">
        <v>361</v>
      </c>
      <c r="AL102" s="3">
        <v>250</v>
      </c>
      <c r="AM102" s="3">
        <v>183</v>
      </c>
      <c r="AN102" s="3">
        <v>150</v>
      </c>
      <c r="AO102" s="3">
        <v>119</v>
      </c>
      <c r="AP102" s="3">
        <v>75</v>
      </c>
      <c r="AQ102" s="3">
        <v>65</v>
      </c>
      <c r="AR102" s="3">
        <v>20202</v>
      </c>
      <c r="AS102" s="3">
        <v>3871</v>
      </c>
      <c r="AT102" s="3">
        <v>3408</v>
      </c>
      <c r="AU102" s="3">
        <v>2722</v>
      </c>
      <c r="AV102" s="3">
        <v>2097</v>
      </c>
      <c r="AW102" s="3">
        <v>1586</v>
      </c>
      <c r="AX102" s="3">
        <v>1189</v>
      </c>
      <c r="AY102" s="3">
        <v>1060</v>
      </c>
      <c r="AZ102" s="3">
        <v>913</v>
      </c>
      <c r="BA102" s="3">
        <v>880</v>
      </c>
      <c r="BB102" s="3">
        <v>595</v>
      </c>
      <c r="BC102" s="3">
        <v>418</v>
      </c>
      <c r="BD102" s="3">
        <v>370</v>
      </c>
      <c r="BE102" s="3">
        <v>296</v>
      </c>
      <c r="BF102" s="3">
        <v>254</v>
      </c>
      <c r="BG102" s="3">
        <v>229</v>
      </c>
      <c r="BH102" s="3">
        <v>152</v>
      </c>
      <c r="BI102" s="3">
        <v>162</v>
      </c>
    </row>
    <row r="103" spans="1:61" x14ac:dyDescent="0.25">
      <c r="A103" s="12" t="s">
        <v>3</v>
      </c>
      <c r="B103" s="12" t="s">
        <v>291</v>
      </c>
      <c r="C103" s="2" t="s">
        <v>113</v>
      </c>
      <c r="D103" s="2" t="s">
        <v>404</v>
      </c>
      <c r="E103" s="2" t="s">
        <v>195</v>
      </c>
      <c r="F103" s="2" t="s">
        <v>196</v>
      </c>
      <c r="G103" s="2">
        <v>2020</v>
      </c>
      <c r="H103" s="3">
        <v>120635</v>
      </c>
      <c r="I103" s="3">
        <v>24877</v>
      </c>
      <c r="J103" s="3">
        <v>20446</v>
      </c>
      <c r="K103" s="3">
        <v>15853</v>
      </c>
      <c r="L103" s="3">
        <v>11391</v>
      </c>
      <c r="M103" s="3">
        <v>9366</v>
      </c>
      <c r="N103" s="3">
        <v>7939</v>
      </c>
      <c r="O103" s="3">
        <v>6347</v>
      </c>
      <c r="P103" s="3">
        <v>5820</v>
      </c>
      <c r="Q103" s="3">
        <v>4982</v>
      </c>
      <c r="R103" s="3">
        <v>3836</v>
      </c>
      <c r="S103" s="3">
        <v>2809</v>
      </c>
      <c r="T103" s="3">
        <v>2077</v>
      </c>
      <c r="U103" s="3">
        <v>1846</v>
      </c>
      <c r="V103" s="3">
        <v>1179</v>
      </c>
      <c r="W103" s="3">
        <v>925</v>
      </c>
      <c r="X103" s="3">
        <v>548</v>
      </c>
      <c r="Y103" s="3">
        <v>394</v>
      </c>
      <c r="Z103" s="3">
        <v>60226</v>
      </c>
      <c r="AA103" s="3">
        <v>12566</v>
      </c>
      <c r="AB103" s="3">
        <v>10326</v>
      </c>
      <c r="AC103" s="3">
        <v>8145</v>
      </c>
      <c r="AD103" s="3">
        <v>5632</v>
      </c>
      <c r="AE103" s="3">
        <v>4432</v>
      </c>
      <c r="AF103" s="3">
        <v>3882</v>
      </c>
      <c r="AG103" s="3">
        <v>3149</v>
      </c>
      <c r="AH103" s="3">
        <v>2809</v>
      </c>
      <c r="AI103" s="3">
        <v>2533</v>
      </c>
      <c r="AJ103" s="3">
        <v>2010</v>
      </c>
      <c r="AK103" s="3">
        <v>1483</v>
      </c>
      <c r="AL103" s="3">
        <v>979</v>
      </c>
      <c r="AM103" s="3">
        <v>843</v>
      </c>
      <c r="AN103" s="3">
        <v>567</v>
      </c>
      <c r="AO103" s="3">
        <v>445</v>
      </c>
      <c r="AP103" s="3">
        <v>249</v>
      </c>
      <c r="AQ103" s="3">
        <v>176</v>
      </c>
      <c r="AR103" s="3">
        <v>60409</v>
      </c>
      <c r="AS103" s="3">
        <v>12311</v>
      </c>
      <c r="AT103" s="3">
        <v>10120</v>
      </c>
      <c r="AU103" s="3">
        <v>7708</v>
      </c>
      <c r="AV103" s="3">
        <v>5759</v>
      </c>
      <c r="AW103" s="3">
        <v>4934</v>
      </c>
      <c r="AX103" s="3">
        <v>4057</v>
      </c>
      <c r="AY103" s="3">
        <v>3198</v>
      </c>
      <c r="AZ103" s="3">
        <v>3011</v>
      </c>
      <c r="BA103" s="3">
        <v>2449</v>
      </c>
      <c r="BB103" s="3">
        <v>1826</v>
      </c>
      <c r="BC103" s="3">
        <v>1326</v>
      </c>
      <c r="BD103" s="3">
        <v>1098</v>
      </c>
      <c r="BE103" s="3">
        <v>1003</v>
      </c>
      <c r="BF103" s="3">
        <v>612</v>
      </c>
      <c r="BG103" s="3">
        <v>480</v>
      </c>
      <c r="BH103" s="3">
        <v>299</v>
      </c>
      <c r="BI103" s="3">
        <v>218</v>
      </c>
    </row>
    <row r="104" spans="1:61" x14ac:dyDescent="0.25">
      <c r="A104" s="12" t="s">
        <v>3</v>
      </c>
      <c r="B104" s="12" t="s">
        <v>291</v>
      </c>
      <c r="C104" s="2" t="s">
        <v>113</v>
      </c>
      <c r="D104" s="2" t="s">
        <v>404</v>
      </c>
      <c r="E104" s="2" t="s">
        <v>195</v>
      </c>
      <c r="F104" s="2" t="s">
        <v>197</v>
      </c>
      <c r="G104" s="2">
        <v>2020</v>
      </c>
      <c r="H104" s="3">
        <v>21119</v>
      </c>
      <c r="I104" s="3">
        <v>4232</v>
      </c>
      <c r="J104" s="3">
        <v>3494</v>
      </c>
      <c r="K104" s="3">
        <v>2772</v>
      </c>
      <c r="L104" s="3">
        <v>2034</v>
      </c>
      <c r="M104" s="3">
        <v>1674</v>
      </c>
      <c r="N104" s="3">
        <v>1464</v>
      </c>
      <c r="O104" s="3">
        <v>1165</v>
      </c>
      <c r="P104" s="3">
        <v>935</v>
      </c>
      <c r="Q104" s="3">
        <v>848</v>
      </c>
      <c r="R104" s="3">
        <v>725</v>
      </c>
      <c r="S104" s="3">
        <v>460</v>
      </c>
      <c r="T104" s="3">
        <v>383</v>
      </c>
      <c r="U104" s="3">
        <v>320</v>
      </c>
      <c r="V104" s="3">
        <v>234</v>
      </c>
      <c r="W104" s="3">
        <v>186</v>
      </c>
      <c r="X104" s="3">
        <v>111</v>
      </c>
      <c r="Y104" s="3">
        <v>82</v>
      </c>
      <c r="Z104" s="3">
        <v>10482</v>
      </c>
      <c r="AA104" s="3">
        <v>2120</v>
      </c>
      <c r="AB104" s="3">
        <v>1826</v>
      </c>
      <c r="AC104" s="3">
        <v>1424</v>
      </c>
      <c r="AD104" s="3">
        <v>1014</v>
      </c>
      <c r="AE104" s="3">
        <v>779</v>
      </c>
      <c r="AF104" s="3">
        <v>704</v>
      </c>
      <c r="AG104" s="3">
        <v>590</v>
      </c>
      <c r="AH104" s="3">
        <v>464</v>
      </c>
      <c r="AI104" s="3">
        <v>400</v>
      </c>
      <c r="AJ104" s="3">
        <v>361</v>
      </c>
      <c r="AK104" s="3">
        <v>231</v>
      </c>
      <c r="AL104" s="3">
        <v>177</v>
      </c>
      <c r="AM104" s="3">
        <v>147</v>
      </c>
      <c r="AN104" s="3">
        <v>95</v>
      </c>
      <c r="AO104" s="3">
        <v>76</v>
      </c>
      <c r="AP104" s="3">
        <v>43</v>
      </c>
      <c r="AQ104" s="3">
        <v>31</v>
      </c>
      <c r="AR104" s="3">
        <v>10637</v>
      </c>
      <c r="AS104" s="3">
        <v>2112</v>
      </c>
      <c r="AT104" s="3">
        <v>1668</v>
      </c>
      <c r="AU104" s="3">
        <v>1348</v>
      </c>
      <c r="AV104" s="3">
        <v>1020</v>
      </c>
      <c r="AW104" s="3">
        <v>895</v>
      </c>
      <c r="AX104" s="3">
        <v>760</v>
      </c>
      <c r="AY104" s="3">
        <v>575</v>
      </c>
      <c r="AZ104" s="3">
        <v>471</v>
      </c>
      <c r="BA104" s="3">
        <v>448</v>
      </c>
      <c r="BB104" s="3">
        <v>364</v>
      </c>
      <c r="BC104" s="3">
        <v>229</v>
      </c>
      <c r="BD104" s="3">
        <v>206</v>
      </c>
      <c r="BE104" s="3">
        <v>173</v>
      </c>
      <c r="BF104" s="3">
        <v>139</v>
      </c>
      <c r="BG104" s="3">
        <v>110</v>
      </c>
      <c r="BH104" s="3">
        <v>68</v>
      </c>
      <c r="BI104" s="3">
        <v>51</v>
      </c>
    </row>
    <row r="105" spans="1:61" x14ac:dyDescent="0.25">
      <c r="A105" s="12" t="s">
        <v>3</v>
      </c>
      <c r="B105" s="12" t="s">
        <v>291</v>
      </c>
      <c r="C105" s="2" t="s">
        <v>113</v>
      </c>
      <c r="D105" s="2" t="s">
        <v>404</v>
      </c>
      <c r="E105" s="2" t="s">
        <v>195</v>
      </c>
      <c r="F105" s="2" t="s">
        <v>195</v>
      </c>
      <c r="G105" s="2">
        <v>2020</v>
      </c>
      <c r="H105" s="3">
        <v>146989</v>
      </c>
      <c r="I105" s="3">
        <v>24949</v>
      </c>
      <c r="J105" s="3">
        <v>22842</v>
      </c>
      <c r="K105" s="3">
        <v>20247</v>
      </c>
      <c r="L105" s="3">
        <v>17052</v>
      </c>
      <c r="M105" s="3">
        <v>13417</v>
      </c>
      <c r="N105" s="3">
        <v>10309</v>
      </c>
      <c r="O105" s="3">
        <v>8223</v>
      </c>
      <c r="P105" s="3">
        <v>7250</v>
      </c>
      <c r="Q105" s="3">
        <v>6115</v>
      </c>
      <c r="R105" s="3">
        <v>4640</v>
      </c>
      <c r="S105" s="3">
        <v>3443</v>
      </c>
      <c r="T105" s="3">
        <v>2563</v>
      </c>
      <c r="U105" s="3">
        <v>2095</v>
      </c>
      <c r="V105" s="3">
        <v>1486</v>
      </c>
      <c r="W105" s="3">
        <v>1166</v>
      </c>
      <c r="X105" s="3">
        <v>694</v>
      </c>
      <c r="Y105" s="3">
        <v>498</v>
      </c>
      <c r="Z105" s="3">
        <v>73457</v>
      </c>
      <c r="AA105" s="3">
        <v>12567</v>
      </c>
      <c r="AB105" s="3">
        <v>11557</v>
      </c>
      <c r="AC105" s="3">
        <v>10084</v>
      </c>
      <c r="AD105" s="3">
        <v>8617</v>
      </c>
      <c r="AE105" s="3">
        <v>6715</v>
      </c>
      <c r="AF105" s="3">
        <v>4941</v>
      </c>
      <c r="AG105" s="3">
        <v>4036</v>
      </c>
      <c r="AH105" s="3">
        <v>3665</v>
      </c>
      <c r="AI105" s="3">
        <v>3143</v>
      </c>
      <c r="AJ105" s="3">
        <v>2318</v>
      </c>
      <c r="AK105" s="3">
        <v>1786</v>
      </c>
      <c r="AL105" s="3">
        <v>1264</v>
      </c>
      <c r="AM105" s="3">
        <v>967</v>
      </c>
      <c r="AN105" s="3">
        <v>709</v>
      </c>
      <c r="AO105" s="3">
        <v>556</v>
      </c>
      <c r="AP105" s="3">
        <v>313</v>
      </c>
      <c r="AQ105" s="3">
        <v>219</v>
      </c>
      <c r="AR105" s="3">
        <v>73532</v>
      </c>
      <c r="AS105" s="3">
        <v>12382</v>
      </c>
      <c r="AT105" s="3">
        <v>11285</v>
      </c>
      <c r="AU105" s="3">
        <v>10163</v>
      </c>
      <c r="AV105" s="3">
        <v>8435</v>
      </c>
      <c r="AW105" s="3">
        <v>6702</v>
      </c>
      <c r="AX105" s="3">
        <v>5368</v>
      </c>
      <c r="AY105" s="3">
        <v>4187</v>
      </c>
      <c r="AZ105" s="3">
        <v>3585</v>
      </c>
      <c r="BA105" s="3">
        <v>2972</v>
      </c>
      <c r="BB105" s="3">
        <v>2322</v>
      </c>
      <c r="BC105" s="3">
        <v>1657</v>
      </c>
      <c r="BD105" s="3">
        <v>1299</v>
      </c>
      <c r="BE105" s="3">
        <v>1128</v>
      </c>
      <c r="BF105" s="3">
        <v>777</v>
      </c>
      <c r="BG105" s="3">
        <v>610</v>
      </c>
      <c r="BH105" s="3">
        <v>381</v>
      </c>
      <c r="BI105" s="3">
        <v>279</v>
      </c>
    </row>
    <row r="106" spans="1:61" x14ac:dyDescent="0.25">
      <c r="A106" s="12" t="s">
        <v>3</v>
      </c>
      <c r="B106" s="12" t="s">
        <v>291</v>
      </c>
      <c r="C106" s="2" t="s">
        <v>114</v>
      </c>
      <c r="D106" s="2" t="s">
        <v>313</v>
      </c>
      <c r="E106" s="2" t="s">
        <v>130</v>
      </c>
      <c r="F106" s="2" t="s">
        <v>130</v>
      </c>
      <c r="G106" s="2">
        <v>2020</v>
      </c>
      <c r="H106" s="3">
        <v>131234</v>
      </c>
      <c r="I106" s="3">
        <v>24508</v>
      </c>
      <c r="J106" s="3">
        <v>21000</v>
      </c>
      <c r="K106" s="3">
        <v>17453</v>
      </c>
      <c r="L106" s="3">
        <v>14149</v>
      </c>
      <c r="M106" s="3">
        <v>10898</v>
      </c>
      <c r="N106" s="3">
        <v>8735</v>
      </c>
      <c r="O106" s="3">
        <v>7879</v>
      </c>
      <c r="P106" s="3">
        <v>6595</v>
      </c>
      <c r="Q106" s="3">
        <v>5635</v>
      </c>
      <c r="R106" s="3">
        <v>4051</v>
      </c>
      <c r="S106" s="3">
        <v>2883</v>
      </c>
      <c r="T106" s="3">
        <v>2233</v>
      </c>
      <c r="U106" s="3">
        <v>1839</v>
      </c>
      <c r="V106" s="3">
        <v>1326</v>
      </c>
      <c r="W106" s="3">
        <v>1026</v>
      </c>
      <c r="X106" s="3">
        <v>631</v>
      </c>
      <c r="Y106" s="3">
        <v>393</v>
      </c>
      <c r="Z106" s="3">
        <v>66503</v>
      </c>
      <c r="AA106" s="3">
        <v>12482</v>
      </c>
      <c r="AB106" s="3">
        <v>10535</v>
      </c>
      <c r="AC106" s="3">
        <v>8907</v>
      </c>
      <c r="AD106" s="3">
        <v>7295</v>
      </c>
      <c r="AE106" s="3">
        <v>5478</v>
      </c>
      <c r="AF106" s="3">
        <v>4310</v>
      </c>
      <c r="AG106" s="3">
        <v>4036</v>
      </c>
      <c r="AH106" s="3">
        <v>3474</v>
      </c>
      <c r="AI106" s="3">
        <v>2931</v>
      </c>
      <c r="AJ106" s="3">
        <v>2133</v>
      </c>
      <c r="AK106" s="3">
        <v>1428</v>
      </c>
      <c r="AL106" s="3">
        <v>1042</v>
      </c>
      <c r="AM106" s="3">
        <v>821</v>
      </c>
      <c r="AN106" s="3">
        <v>643</v>
      </c>
      <c r="AO106" s="3">
        <v>520</v>
      </c>
      <c r="AP106" s="3">
        <v>302</v>
      </c>
      <c r="AQ106" s="3">
        <v>166</v>
      </c>
      <c r="AR106" s="3">
        <v>64731</v>
      </c>
      <c r="AS106" s="3">
        <v>12026</v>
      </c>
      <c r="AT106" s="3">
        <v>10465</v>
      </c>
      <c r="AU106" s="3">
        <v>8546</v>
      </c>
      <c r="AV106" s="3">
        <v>6854</v>
      </c>
      <c r="AW106" s="3">
        <v>5420</v>
      </c>
      <c r="AX106" s="3">
        <v>4425</v>
      </c>
      <c r="AY106" s="3">
        <v>3843</v>
      </c>
      <c r="AZ106" s="3">
        <v>3121</v>
      </c>
      <c r="BA106" s="3">
        <v>2704</v>
      </c>
      <c r="BB106" s="3">
        <v>1918</v>
      </c>
      <c r="BC106" s="3">
        <v>1455</v>
      </c>
      <c r="BD106" s="3">
        <v>1191</v>
      </c>
      <c r="BE106" s="3">
        <v>1018</v>
      </c>
      <c r="BF106" s="3">
        <v>683</v>
      </c>
      <c r="BG106" s="3">
        <v>506</v>
      </c>
      <c r="BH106" s="3">
        <v>329</v>
      </c>
      <c r="BI106" s="3">
        <v>227</v>
      </c>
    </row>
    <row r="107" spans="1:61" x14ac:dyDescent="0.25">
      <c r="A107" s="12" t="s">
        <v>3</v>
      </c>
      <c r="B107" s="12" t="s">
        <v>291</v>
      </c>
      <c r="C107" s="2" t="s">
        <v>199</v>
      </c>
      <c r="D107" s="2" t="s">
        <v>446</v>
      </c>
      <c r="E107" s="2" t="s">
        <v>210</v>
      </c>
      <c r="F107" s="2" t="s">
        <v>211</v>
      </c>
      <c r="G107" s="2">
        <v>2020</v>
      </c>
      <c r="H107" s="3">
        <v>76503</v>
      </c>
      <c r="I107" s="3">
        <v>15011</v>
      </c>
      <c r="J107" s="3">
        <v>13205</v>
      </c>
      <c r="K107" s="3">
        <v>10548</v>
      </c>
      <c r="L107" s="3">
        <v>7366</v>
      </c>
      <c r="M107" s="3">
        <v>5846</v>
      </c>
      <c r="N107" s="3">
        <v>5116</v>
      </c>
      <c r="O107" s="3">
        <v>3993</v>
      </c>
      <c r="P107" s="3">
        <v>3571</v>
      </c>
      <c r="Q107" s="3">
        <v>3303</v>
      </c>
      <c r="R107" s="3">
        <v>2400</v>
      </c>
      <c r="S107" s="3">
        <v>1651</v>
      </c>
      <c r="T107" s="3">
        <v>1212</v>
      </c>
      <c r="U107" s="3">
        <v>1074</v>
      </c>
      <c r="V107" s="3">
        <v>892</v>
      </c>
      <c r="W107" s="3">
        <v>619</v>
      </c>
      <c r="X107" s="3">
        <v>415</v>
      </c>
      <c r="Y107" s="3">
        <v>281</v>
      </c>
      <c r="Z107" s="3">
        <v>38539</v>
      </c>
      <c r="AA107" s="3">
        <v>7568</v>
      </c>
      <c r="AB107" s="3">
        <v>6638</v>
      </c>
      <c r="AC107" s="3">
        <v>5458</v>
      </c>
      <c r="AD107" s="3">
        <v>3831</v>
      </c>
      <c r="AE107" s="3">
        <v>2899</v>
      </c>
      <c r="AF107" s="3">
        <v>2628</v>
      </c>
      <c r="AG107" s="3">
        <v>1961</v>
      </c>
      <c r="AH107" s="3">
        <v>1695</v>
      </c>
      <c r="AI107" s="3">
        <v>1642</v>
      </c>
      <c r="AJ107" s="3">
        <v>1265</v>
      </c>
      <c r="AK107" s="3">
        <v>905</v>
      </c>
      <c r="AL107" s="3">
        <v>533</v>
      </c>
      <c r="AM107" s="3">
        <v>429</v>
      </c>
      <c r="AN107" s="3">
        <v>417</v>
      </c>
      <c r="AO107" s="3">
        <v>304</v>
      </c>
      <c r="AP107" s="3">
        <v>226</v>
      </c>
      <c r="AQ107" s="3">
        <v>140</v>
      </c>
      <c r="AR107" s="3">
        <v>37964</v>
      </c>
      <c r="AS107" s="3">
        <v>7443</v>
      </c>
      <c r="AT107" s="3">
        <v>6567</v>
      </c>
      <c r="AU107" s="3">
        <v>5090</v>
      </c>
      <c r="AV107" s="3">
        <v>3535</v>
      </c>
      <c r="AW107" s="3">
        <v>2947</v>
      </c>
      <c r="AX107" s="3">
        <v>2488</v>
      </c>
      <c r="AY107" s="3">
        <v>2032</v>
      </c>
      <c r="AZ107" s="3">
        <v>1876</v>
      </c>
      <c r="BA107" s="3">
        <v>1661</v>
      </c>
      <c r="BB107" s="3">
        <v>1135</v>
      </c>
      <c r="BC107" s="3">
        <v>746</v>
      </c>
      <c r="BD107" s="3">
        <v>679</v>
      </c>
      <c r="BE107" s="3">
        <v>645</v>
      </c>
      <c r="BF107" s="3">
        <v>475</v>
      </c>
      <c r="BG107" s="3">
        <v>315</v>
      </c>
      <c r="BH107" s="3">
        <v>189</v>
      </c>
      <c r="BI107" s="3">
        <v>141</v>
      </c>
    </row>
    <row r="108" spans="1:61" x14ac:dyDescent="0.25">
      <c r="A108" s="12" t="s">
        <v>3</v>
      </c>
      <c r="B108" s="12" t="s">
        <v>291</v>
      </c>
      <c r="C108" s="2" t="s">
        <v>199</v>
      </c>
      <c r="D108" s="2" t="s">
        <v>446</v>
      </c>
      <c r="E108" s="2" t="s">
        <v>210</v>
      </c>
      <c r="F108" s="2" t="s">
        <v>210</v>
      </c>
      <c r="G108" s="2">
        <v>2020</v>
      </c>
      <c r="H108" s="3">
        <v>51866</v>
      </c>
      <c r="I108" s="3">
        <v>9512</v>
      </c>
      <c r="J108" s="3">
        <v>8510</v>
      </c>
      <c r="K108" s="3">
        <v>7243</v>
      </c>
      <c r="L108" s="3">
        <v>5599</v>
      </c>
      <c r="M108" s="3">
        <v>4287</v>
      </c>
      <c r="N108" s="3">
        <v>3348</v>
      </c>
      <c r="O108" s="3">
        <v>2792</v>
      </c>
      <c r="P108" s="3">
        <v>2383</v>
      </c>
      <c r="Q108" s="3">
        <v>2112</v>
      </c>
      <c r="R108" s="3">
        <v>1680</v>
      </c>
      <c r="S108" s="3">
        <v>1227</v>
      </c>
      <c r="T108" s="3">
        <v>916</v>
      </c>
      <c r="U108" s="3">
        <v>769</v>
      </c>
      <c r="V108" s="3">
        <v>600</v>
      </c>
      <c r="W108" s="3">
        <v>417</v>
      </c>
      <c r="X108" s="3">
        <v>281</v>
      </c>
      <c r="Y108" s="3">
        <v>190</v>
      </c>
      <c r="Z108" s="3">
        <v>25989</v>
      </c>
      <c r="AA108" s="3">
        <v>4817</v>
      </c>
      <c r="AB108" s="3">
        <v>4264</v>
      </c>
      <c r="AC108" s="3">
        <v>3746</v>
      </c>
      <c r="AD108" s="3">
        <v>2822</v>
      </c>
      <c r="AE108" s="3">
        <v>2152</v>
      </c>
      <c r="AF108" s="3">
        <v>1582</v>
      </c>
      <c r="AG108" s="3">
        <v>1386</v>
      </c>
      <c r="AH108" s="3">
        <v>1194</v>
      </c>
      <c r="AI108" s="3">
        <v>1068</v>
      </c>
      <c r="AJ108" s="3">
        <v>844</v>
      </c>
      <c r="AK108" s="3">
        <v>663</v>
      </c>
      <c r="AL108" s="3">
        <v>453</v>
      </c>
      <c r="AM108" s="3">
        <v>290</v>
      </c>
      <c r="AN108" s="3">
        <v>270</v>
      </c>
      <c r="AO108" s="3">
        <v>197</v>
      </c>
      <c r="AP108" s="3">
        <v>148</v>
      </c>
      <c r="AQ108" s="3">
        <v>93</v>
      </c>
      <c r="AR108" s="3">
        <v>25877</v>
      </c>
      <c r="AS108" s="3">
        <v>4695</v>
      </c>
      <c r="AT108" s="3">
        <v>4246</v>
      </c>
      <c r="AU108" s="3">
        <v>3497</v>
      </c>
      <c r="AV108" s="3">
        <v>2777</v>
      </c>
      <c r="AW108" s="3">
        <v>2135</v>
      </c>
      <c r="AX108" s="3">
        <v>1766</v>
      </c>
      <c r="AY108" s="3">
        <v>1406</v>
      </c>
      <c r="AZ108" s="3">
        <v>1189</v>
      </c>
      <c r="BA108" s="3">
        <v>1044</v>
      </c>
      <c r="BB108" s="3">
        <v>836</v>
      </c>
      <c r="BC108" s="3">
        <v>564</v>
      </c>
      <c r="BD108" s="3">
        <v>463</v>
      </c>
      <c r="BE108" s="3">
        <v>479</v>
      </c>
      <c r="BF108" s="3">
        <v>330</v>
      </c>
      <c r="BG108" s="3">
        <v>220</v>
      </c>
      <c r="BH108" s="3">
        <v>133</v>
      </c>
      <c r="BI108" s="3">
        <v>97</v>
      </c>
    </row>
    <row r="109" spans="1:61" x14ac:dyDescent="0.25">
      <c r="A109" s="12" t="s">
        <v>3</v>
      </c>
      <c r="B109" s="12" t="s">
        <v>291</v>
      </c>
      <c r="C109" s="2" t="s">
        <v>199</v>
      </c>
      <c r="D109" s="2" t="s">
        <v>446</v>
      </c>
      <c r="E109" s="2" t="s">
        <v>212</v>
      </c>
      <c r="F109" s="2" t="s">
        <v>212</v>
      </c>
      <c r="G109" s="2">
        <v>2020</v>
      </c>
      <c r="H109" s="3">
        <v>137841</v>
      </c>
      <c r="I109" s="3">
        <v>28370</v>
      </c>
      <c r="J109" s="3">
        <v>21972</v>
      </c>
      <c r="K109" s="3">
        <v>17210</v>
      </c>
      <c r="L109" s="3">
        <v>13766</v>
      </c>
      <c r="M109" s="3">
        <v>11897</v>
      </c>
      <c r="N109" s="3">
        <v>10363</v>
      </c>
      <c r="O109" s="3">
        <v>7992</v>
      </c>
      <c r="P109" s="3">
        <v>6791</v>
      </c>
      <c r="Q109" s="3">
        <v>5810</v>
      </c>
      <c r="R109" s="3">
        <v>4430</v>
      </c>
      <c r="S109" s="3">
        <v>2968</v>
      </c>
      <c r="T109" s="3">
        <v>2096</v>
      </c>
      <c r="U109" s="3">
        <v>1504</v>
      </c>
      <c r="V109" s="3">
        <v>1083</v>
      </c>
      <c r="W109" s="3">
        <v>763</v>
      </c>
      <c r="X109" s="3">
        <v>479</v>
      </c>
      <c r="Y109" s="3">
        <v>347</v>
      </c>
      <c r="Z109" s="3">
        <v>69332</v>
      </c>
      <c r="AA109" s="3">
        <v>14359</v>
      </c>
      <c r="AB109" s="3">
        <v>10944</v>
      </c>
      <c r="AC109" s="3">
        <v>8817</v>
      </c>
      <c r="AD109" s="3">
        <v>6630</v>
      </c>
      <c r="AE109" s="3">
        <v>5860</v>
      </c>
      <c r="AF109" s="3">
        <v>5092</v>
      </c>
      <c r="AG109" s="3">
        <v>4146</v>
      </c>
      <c r="AH109" s="3">
        <v>3387</v>
      </c>
      <c r="AI109" s="3">
        <v>3085</v>
      </c>
      <c r="AJ109" s="3">
        <v>2412</v>
      </c>
      <c r="AK109" s="3">
        <v>1599</v>
      </c>
      <c r="AL109" s="3">
        <v>1072</v>
      </c>
      <c r="AM109" s="3">
        <v>660</v>
      </c>
      <c r="AN109" s="3">
        <v>487</v>
      </c>
      <c r="AO109" s="3">
        <v>389</v>
      </c>
      <c r="AP109" s="3">
        <v>234</v>
      </c>
      <c r="AQ109" s="3">
        <v>159</v>
      </c>
      <c r="AR109" s="3">
        <v>68509</v>
      </c>
      <c r="AS109" s="3">
        <v>14011</v>
      </c>
      <c r="AT109" s="3">
        <v>11028</v>
      </c>
      <c r="AU109" s="3">
        <v>8393</v>
      </c>
      <c r="AV109" s="3">
        <v>7136</v>
      </c>
      <c r="AW109" s="3">
        <v>6037</v>
      </c>
      <c r="AX109" s="3">
        <v>5271</v>
      </c>
      <c r="AY109" s="3">
        <v>3846</v>
      </c>
      <c r="AZ109" s="3">
        <v>3404</v>
      </c>
      <c r="BA109" s="3">
        <v>2725</v>
      </c>
      <c r="BB109" s="3">
        <v>2018</v>
      </c>
      <c r="BC109" s="3">
        <v>1369</v>
      </c>
      <c r="BD109" s="3">
        <v>1024</v>
      </c>
      <c r="BE109" s="3">
        <v>844</v>
      </c>
      <c r="BF109" s="3">
        <v>596</v>
      </c>
      <c r="BG109" s="3">
        <v>374</v>
      </c>
      <c r="BH109" s="3">
        <v>245</v>
      </c>
      <c r="BI109" s="3">
        <v>188</v>
      </c>
    </row>
    <row r="110" spans="1:61" x14ac:dyDescent="0.25">
      <c r="A110" s="12" t="s">
        <v>3</v>
      </c>
      <c r="B110" s="12" t="s">
        <v>291</v>
      </c>
      <c r="C110" s="2" t="s">
        <v>114</v>
      </c>
      <c r="D110" s="2" t="s">
        <v>313</v>
      </c>
      <c r="E110" s="2" t="s">
        <v>131</v>
      </c>
      <c r="F110" s="2" t="s">
        <v>132</v>
      </c>
      <c r="G110" s="2">
        <v>2020</v>
      </c>
      <c r="H110" s="3">
        <v>48940</v>
      </c>
      <c r="I110" s="3">
        <v>7424</v>
      </c>
      <c r="J110" s="3">
        <v>6571</v>
      </c>
      <c r="K110" s="3">
        <v>6486</v>
      </c>
      <c r="L110" s="3">
        <v>6025</v>
      </c>
      <c r="M110" s="3">
        <v>4683</v>
      </c>
      <c r="N110" s="3">
        <v>3988</v>
      </c>
      <c r="O110" s="3">
        <v>3211</v>
      </c>
      <c r="P110" s="3">
        <v>2562</v>
      </c>
      <c r="Q110" s="3">
        <v>2417</v>
      </c>
      <c r="R110" s="3">
        <v>1847</v>
      </c>
      <c r="S110" s="3">
        <v>1363</v>
      </c>
      <c r="T110" s="3">
        <v>975</v>
      </c>
      <c r="U110" s="3">
        <v>618</v>
      </c>
      <c r="V110" s="3">
        <v>332</v>
      </c>
      <c r="W110" s="3">
        <v>216</v>
      </c>
      <c r="X110" s="3">
        <v>132</v>
      </c>
      <c r="Y110" s="3">
        <v>90</v>
      </c>
      <c r="Z110" s="3">
        <v>24940</v>
      </c>
      <c r="AA110" s="3">
        <v>3753</v>
      </c>
      <c r="AB110" s="3">
        <v>3296</v>
      </c>
      <c r="AC110" s="3">
        <v>3283</v>
      </c>
      <c r="AD110" s="3">
        <v>3085</v>
      </c>
      <c r="AE110" s="3">
        <v>2351</v>
      </c>
      <c r="AF110" s="3">
        <v>2093</v>
      </c>
      <c r="AG110" s="3">
        <v>1683</v>
      </c>
      <c r="AH110" s="3">
        <v>1257</v>
      </c>
      <c r="AI110" s="3">
        <v>1213</v>
      </c>
      <c r="AJ110" s="3">
        <v>947</v>
      </c>
      <c r="AK110" s="3">
        <v>729</v>
      </c>
      <c r="AL110" s="3">
        <v>537</v>
      </c>
      <c r="AM110" s="3">
        <v>326</v>
      </c>
      <c r="AN110" s="3">
        <v>183</v>
      </c>
      <c r="AO110" s="3">
        <v>107</v>
      </c>
      <c r="AP110" s="3">
        <v>61</v>
      </c>
      <c r="AQ110" s="3">
        <v>36</v>
      </c>
      <c r="AR110" s="3">
        <v>24000</v>
      </c>
      <c r="AS110" s="3">
        <v>3671</v>
      </c>
      <c r="AT110" s="3">
        <v>3275</v>
      </c>
      <c r="AU110" s="3">
        <v>3203</v>
      </c>
      <c r="AV110" s="3">
        <v>2940</v>
      </c>
      <c r="AW110" s="3">
        <v>2332</v>
      </c>
      <c r="AX110" s="3">
        <v>1895</v>
      </c>
      <c r="AY110" s="3">
        <v>1528</v>
      </c>
      <c r="AZ110" s="3">
        <v>1305</v>
      </c>
      <c r="BA110" s="3">
        <v>1204</v>
      </c>
      <c r="BB110" s="3">
        <v>900</v>
      </c>
      <c r="BC110" s="3">
        <v>634</v>
      </c>
      <c r="BD110" s="3">
        <v>438</v>
      </c>
      <c r="BE110" s="3">
        <v>292</v>
      </c>
      <c r="BF110" s="3">
        <v>149</v>
      </c>
      <c r="BG110" s="3">
        <v>109</v>
      </c>
      <c r="BH110" s="3">
        <v>71</v>
      </c>
      <c r="BI110" s="3">
        <v>54</v>
      </c>
    </row>
    <row r="111" spans="1:61" x14ac:dyDescent="0.25">
      <c r="A111" s="12" t="s">
        <v>3</v>
      </c>
      <c r="B111" s="12" t="s">
        <v>291</v>
      </c>
      <c r="C111" s="2" t="s">
        <v>114</v>
      </c>
      <c r="D111" s="2" t="s">
        <v>313</v>
      </c>
      <c r="E111" s="2" t="s">
        <v>131</v>
      </c>
      <c r="F111" s="2" t="s">
        <v>133</v>
      </c>
      <c r="G111" s="2">
        <v>2020</v>
      </c>
      <c r="H111" s="3">
        <v>55990</v>
      </c>
      <c r="I111" s="3">
        <v>7115</v>
      </c>
      <c r="J111" s="3">
        <v>6427</v>
      </c>
      <c r="K111" s="3">
        <v>7046</v>
      </c>
      <c r="L111" s="3">
        <v>7789</v>
      </c>
      <c r="M111" s="3">
        <v>6313</v>
      </c>
      <c r="N111" s="3">
        <v>4913</v>
      </c>
      <c r="O111" s="3">
        <v>3614</v>
      </c>
      <c r="P111" s="3">
        <v>2809</v>
      </c>
      <c r="Q111" s="3">
        <v>2738</v>
      </c>
      <c r="R111" s="3">
        <v>2352</v>
      </c>
      <c r="S111" s="3">
        <v>1819</v>
      </c>
      <c r="T111" s="3">
        <v>1386</v>
      </c>
      <c r="U111" s="3">
        <v>778</v>
      </c>
      <c r="V111" s="3">
        <v>384</v>
      </c>
      <c r="W111" s="3">
        <v>250</v>
      </c>
      <c r="X111" s="3">
        <v>154</v>
      </c>
      <c r="Y111" s="3">
        <v>103</v>
      </c>
      <c r="Z111" s="3">
        <v>28561</v>
      </c>
      <c r="AA111" s="3">
        <v>3572</v>
      </c>
      <c r="AB111" s="3">
        <v>3268</v>
      </c>
      <c r="AC111" s="3">
        <v>3498</v>
      </c>
      <c r="AD111" s="3">
        <v>3825</v>
      </c>
      <c r="AE111" s="3">
        <v>3408</v>
      </c>
      <c r="AF111" s="3">
        <v>2644</v>
      </c>
      <c r="AG111" s="3">
        <v>1870</v>
      </c>
      <c r="AH111" s="3">
        <v>1315</v>
      </c>
      <c r="AI111" s="3">
        <v>1323</v>
      </c>
      <c r="AJ111" s="3">
        <v>1167</v>
      </c>
      <c r="AK111" s="3">
        <v>998</v>
      </c>
      <c r="AL111" s="3">
        <v>811</v>
      </c>
      <c r="AM111" s="3">
        <v>438</v>
      </c>
      <c r="AN111" s="3">
        <v>201</v>
      </c>
      <c r="AO111" s="3">
        <v>118</v>
      </c>
      <c r="AP111" s="3">
        <v>67</v>
      </c>
      <c r="AQ111" s="3">
        <v>38</v>
      </c>
      <c r="AR111" s="3">
        <v>27429</v>
      </c>
      <c r="AS111" s="3">
        <v>3543</v>
      </c>
      <c r="AT111" s="3">
        <v>3159</v>
      </c>
      <c r="AU111" s="3">
        <v>3548</v>
      </c>
      <c r="AV111" s="3">
        <v>3964</v>
      </c>
      <c r="AW111" s="3">
        <v>2905</v>
      </c>
      <c r="AX111" s="3">
        <v>2269</v>
      </c>
      <c r="AY111" s="3">
        <v>1744</v>
      </c>
      <c r="AZ111" s="3">
        <v>1494</v>
      </c>
      <c r="BA111" s="3">
        <v>1415</v>
      </c>
      <c r="BB111" s="3">
        <v>1185</v>
      </c>
      <c r="BC111" s="3">
        <v>821</v>
      </c>
      <c r="BD111" s="3">
        <v>575</v>
      </c>
      <c r="BE111" s="3">
        <v>340</v>
      </c>
      <c r="BF111" s="3">
        <v>183</v>
      </c>
      <c r="BG111" s="3">
        <v>132</v>
      </c>
      <c r="BH111" s="3">
        <v>87</v>
      </c>
      <c r="BI111" s="3">
        <v>65</v>
      </c>
    </row>
    <row r="112" spans="1:61" x14ac:dyDescent="0.25">
      <c r="A112" s="12" t="s">
        <v>3</v>
      </c>
      <c r="B112" s="12" t="s">
        <v>291</v>
      </c>
      <c r="C112" s="2" t="s">
        <v>114</v>
      </c>
      <c r="D112" s="2" t="s">
        <v>313</v>
      </c>
      <c r="E112" s="2" t="s">
        <v>131</v>
      </c>
      <c r="F112" s="2" t="s">
        <v>131</v>
      </c>
      <c r="G112" s="2">
        <v>2020</v>
      </c>
      <c r="H112" s="3">
        <v>76633</v>
      </c>
      <c r="I112" s="3">
        <v>11258</v>
      </c>
      <c r="J112" s="3">
        <v>9905</v>
      </c>
      <c r="K112" s="3">
        <v>9798</v>
      </c>
      <c r="L112" s="3">
        <v>9317</v>
      </c>
      <c r="M112" s="3">
        <v>7023</v>
      </c>
      <c r="N112" s="3">
        <v>5831</v>
      </c>
      <c r="O112" s="3">
        <v>4869</v>
      </c>
      <c r="P112" s="3">
        <v>4059</v>
      </c>
      <c r="Q112" s="3">
        <v>3417</v>
      </c>
      <c r="R112" s="3">
        <v>2922</v>
      </c>
      <c r="S112" s="3">
        <v>2303</v>
      </c>
      <c r="T112" s="3">
        <v>1940</v>
      </c>
      <c r="U112" s="3">
        <v>1412</v>
      </c>
      <c r="V112" s="3">
        <v>1110</v>
      </c>
      <c r="W112" s="3">
        <v>725</v>
      </c>
      <c r="X112" s="3">
        <v>443</v>
      </c>
      <c r="Y112" s="3">
        <v>301</v>
      </c>
      <c r="Z112" s="3">
        <v>38321</v>
      </c>
      <c r="AA112" s="3">
        <v>5734</v>
      </c>
      <c r="AB112" s="3">
        <v>5058</v>
      </c>
      <c r="AC112" s="3">
        <v>4970</v>
      </c>
      <c r="AD112" s="3">
        <v>4620</v>
      </c>
      <c r="AE112" s="3">
        <v>3513</v>
      </c>
      <c r="AF112" s="3">
        <v>2894</v>
      </c>
      <c r="AG112" s="3">
        <v>2459</v>
      </c>
      <c r="AH112" s="3">
        <v>2136</v>
      </c>
      <c r="AI112" s="3">
        <v>1685</v>
      </c>
      <c r="AJ112" s="3">
        <v>1388</v>
      </c>
      <c r="AK112" s="3">
        <v>1093</v>
      </c>
      <c r="AL112" s="3">
        <v>901</v>
      </c>
      <c r="AM112" s="3">
        <v>637</v>
      </c>
      <c r="AN112" s="3">
        <v>586</v>
      </c>
      <c r="AO112" s="3">
        <v>342</v>
      </c>
      <c r="AP112" s="3">
        <v>193</v>
      </c>
      <c r="AQ112" s="3">
        <v>112</v>
      </c>
      <c r="AR112" s="3">
        <v>38312</v>
      </c>
      <c r="AS112" s="3">
        <v>5524</v>
      </c>
      <c r="AT112" s="3">
        <v>4847</v>
      </c>
      <c r="AU112" s="3">
        <v>4828</v>
      </c>
      <c r="AV112" s="3">
        <v>4697</v>
      </c>
      <c r="AW112" s="3">
        <v>3510</v>
      </c>
      <c r="AX112" s="3">
        <v>2937</v>
      </c>
      <c r="AY112" s="3">
        <v>2410</v>
      </c>
      <c r="AZ112" s="3">
        <v>1923</v>
      </c>
      <c r="BA112" s="3">
        <v>1732</v>
      </c>
      <c r="BB112" s="3">
        <v>1534</v>
      </c>
      <c r="BC112" s="3">
        <v>1210</v>
      </c>
      <c r="BD112" s="3">
        <v>1039</v>
      </c>
      <c r="BE112" s="3">
        <v>775</v>
      </c>
      <c r="BF112" s="3">
        <v>524</v>
      </c>
      <c r="BG112" s="3">
        <v>383</v>
      </c>
      <c r="BH112" s="3">
        <v>250</v>
      </c>
      <c r="BI112" s="3">
        <v>189</v>
      </c>
    </row>
    <row r="113" spans="1:61" x14ac:dyDescent="0.25">
      <c r="A113" s="12" t="s">
        <v>3</v>
      </c>
      <c r="B113" s="12" t="s">
        <v>291</v>
      </c>
      <c r="C113" s="2" t="s">
        <v>215</v>
      </c>
      <c r="D113" s="2" t="s">
        <v>422</v>
      </c>
      <c r="E113" s="2" t="s">
        <v>222</v>
      </c>
      <c r="F113" s="2" t="s">
        <v>222</v>
      </c>
      <c r="G113" s="2">
        <v>2020</v>
      </c>
      <c r="H113" s="3">
        <v>74414</v>
      </c>
      <c r="I113" s="3">
        <v>15126</v>
      </c>
      <c r="J113" s="3">
        <v>12637</v>
      </c>
      <c r="K113" s="3">
        <v>10052</v>
      </c>
      <c r="L113" s="3">
        <v>8003</v>
      </c>
      <c r="M113" s="3">
        <v>5976</v>
      </c>
      <c r="N113" s="3">
        <v>4697</v>
      </c>
      <c r="O113" s="3">
        <v>4037</v>
      </c>
      <c r="P113" s="3">
        <v>3328</v>
      </c>
      <c r="Q113" s="3">
        <v>3029</v>
      </c>
      <c r="R113" s="3">
        <v>2161</v>
      </c>
      <c r="S113" s="3">
        <v>1443</v>
      </c>
      <c r="T113" s="3">
        <v>1120</v>
      </c>
      <c r="U113" s="3">
        <v>943</v>
      </c>
      <c r="V113" s="3">
        <v>689</v>
      </c>
      <c r="W113" s="3">
        <v>524</v>
      </c>
      <c r="X113" s="3">
        <v>361</v>
      </c>
      <c r="Y113" s="3">
        <v>288</v>
      </c>
      <c r="Z113" s="3">
        <v>37089</v>
      </c>
      <c r="AA113" s="3">
        <v>7615</v>
      </c>
      <c r="AB113" s="3">
        <v>6361</v>
      </c>
      <c r="AC113" s="3">
        <v>5014</v>
      </c>
      <c r="AD113" s="3">
        <v>4132</v>
      </c>
      <c r="AE113" s="3">
        <v>3090</v>
      </c>
      <c r="AF113" s="3">
        <v>2281</v>
      </c>
      <c r="AG113" s="3">
        <v>1933</v>
      </c>
      <c r="AH113" s="3">
        <v>1565</v>
      </c>
      <c r="AI113" s="3">
        <v>1434</v>
      </c>
      <c r="AJ113" s="3">
        <v>1110</v>
      </c>
      <c r="AK113" s="3">
        <v>730</v>
      </c>
      <c r="AL113" s="3">
        <v>539</v>
      </c>
      <c r="AM113" s="3">
        <v>427</v>
      </c>
      <c r="AN113" s="3">
        <v>327</v>
      </c>
      <c r="AO113" s="3">
        <v>240</v>
      </c>
      <c r="AP113" s="3">
        <v>159</v>
      </c>
      <c r="AQ113" s="3">
        <v>132</v>
      </c>
      <c r="AR113" s="3">
        <v>37325</v>
      </c>
      <c r="AS113" s="3">
        <v>7511</v>
      </c>
      <c r="AT113" s="3">
        <v>6276</v>
      </c>
      <c r="AU113" s="3">
        <v>5038</v>
      </c>
      <c r="AV113" s="3">
        <v>3871</v>
      </c>
      <c r="AW113" s="3">
        <v>2886</v>
      </c>
      <c r="AX113" s="3">
        <v>2416</v>
      </c>
      <c r="AY113" s="3">
        <v>2104</v>
      </c>
      <c r="AZ113" s="3">
        <v>1763</v>
      </c>
      <c r="BA113" s="3">
        <v>1595</v>
      </c>
      <c r="BB113" s="3">
        <v>1051</v>
      </c>
      <c r="BC113" s="3">
        <v>713</v>
      </c>
      <c r="BD113" s="3">
        <v>581</v>
      </c>
      <c r="BE113" s="3">
        <v>516</v>
      </c>
      <c r="BF113" s="3">
        <v>362</v>
      </c>
      <c r="BG113" s="3">
        <v>284</v>
      </c>
      <c r="BH113" s="3">
        <v>202</v>
      </c>
      <c r="BI113" s="3">
        <v>156</v>
      </c>
    </row>
    <row r="114" spans="1:61" x14ac:dyDescent="0.25">
      <c r="A114" s="12" t="s">
        <v>3</v>
      </c>
      <c r="B114" s="12" t="s">
        <v>291</v>
      </c>
      <c r="C114" s="2" t="s">
        <v>96</v>
      </c>
      <c r="D114" s="2" t="s">
        <v>290</v>
      </c>
      <c r="E114" s="2" t="s">
        <v>108</v>
      </c>
      <c r="F114" s="2" t="s">
        <v>109</v>
      </c>
      <c r="G114" s="2">
        <v>2020</v>
      </c>
      <c r="H114" s="3">
        <v>73542</v>
      </c>
      <c r="I114" s="3">
        <v>13285</v>
      </c>
      <c r="J114" s="3">
        <v>11516</v>
      </c>
      <c r="K114" s="3">
        <v>9671</v>
      </c>
      <c r="L114" s="3">
        <v>8093</v>
      </c>
      <c r="M114" s="3">
        <v>6851</v>
      </c>
      <c r="N114" s="3">
        <v>5250</v>
      </c>
      <c r="O114" s="3">
        <v>4469</v>
      </c>
      <c r="P114" s="3">
        <v>3456</v>
      </c>
      <c r="Q114" s="3">
        <v>3083</v>
      </c>
      <c r="R114" s="3">
        <v>2248</v>
      </c>
      <c r="S114" s="3">
        <v>1629</v>
      </c>
      <c r="T114" s="3">
        <v>1187</v>
      </c>
      <c r="U114" s="3">
        <v>991</v>
      </c>
      <c r="V114" s="3">
        <v>671</v>
      </c>
      <c r="W114" s="3">
        <v>486</v>
      </c>
      <c r="X114" s="3">
        <v>351</v>
      </c>
      <c r="Y114" s="3">
        <v>305</v>
      </c>
      <c r="Z114" s="3">
        <v>37344</v>
      </c>
      <c r="AA114" s="3">
        <v>6788</v>
      </c>
      <c r="AB114" s="3">
        <v>5832</v>
      </c>
      <c r="AC114" s="3">
        <v>4944</v>
      </c>
      <c r="AD114" s="3">
        <v>4167</v>
      </c>
      <c r="AE114" s="3">
        <v>3713</v>
      </c>
      <c r="AF114" s="3">
        <v>2808</v>
      </c>
      <c r="AG114" s="3">
        <v>2190</v>
      </c>
      <c r="AH114" s="3">
        <v>1724</v>
      </c>
      <c r="AI114" s="3">
        <v>1503</v>
      </c>
      <c r="AJ114" s="3">
        <v>1137</v>
      </c>
      <c r="AK114" s="3">
        <v>783</v>
      </c>
      <c r="AL114" s="3">
        <v>555</v>
      </c>
      <c r="AM114" s="3">
        <v>401</v>
      </c>
      <c r="AN114" s="3">
        <v>312</v>
      </c>
      <c r="AO114" s="3">
        <v>225</v>
      </c>
      <c r="AP114" s="3">
        <v>147</v>
      </c>
      <c r="AQ114" s="3">
        <v>115</v>
      </c>
      <c r="AR114" s="3">
        <v>36198</v>
      </c>
      <c r="AS114" s="3">
        <v>6497</v>
      </c>
      <c r="AT114" s="3">
        <v>5684</v>
      </c>
      <c r="AU114" s="3">
        <v>4727</v>
      </c>
      <c r="AV114" s="3">
        <v>3926</v>
      </c>
      <c r="AW114" s="3">
        <v>3138</v>
      </c>
      <c r="AX114" s="3">
        <v>2442</v>
      </c>
      <c r="AY114" s="3">
        <v>2279</v>
      </c>
      <c r="AZ114" s="3">
        <v>1732</v>
      </c>
      <c r="BA114" s="3">
        <v>1580</v>
      </c>
      <c r="BB114" s="3">
        <v>1111</v>
      </c>
      <c r="BC114" s="3">
        <v>846</v>
      </c>
      <c r="BD114" s="3">
        <v>632</v>
      </c>
      <c r="BE114" s="3">
        <v>590</v>
      </c>
      <c r="BF114" s="3">
        <v>359</v>
      </c>
      <c r="BG114" s="3">
        <v>261</v>
      </c>
      <c r="BH114" s="3">
        <v>204</v>
      </c>
      <c r="BI114" s="3">
        <v>190</v>
      </c>
    </row>
    <row r="115" spans="1:61" x14ac:dyDescent="0.25">
      <c r="A115" s="12" t="s">
        <v>3</v>
      </c>
      <c r="B115" s="12" t="s">
        <v>291</v>
      </c>
      <c r="C115" s="2" t="s">
        <v>96</v>
      </c>
      <c r="D115" s="2" t="s">
        <v>290</v>
      </c>
      <c r="E115" s="2" t="s">
        <v>108</v>
      </c>
      <c r="F115" s="2" t="s">
        <v>108</v>
      </c>
      <c r="G115" s="2">
        <v>2020</v>
      </c>
      <c r="H115" s="3">
        <v>116740</v>
      </c>
      <c r="I115" s="3">
        <v>21033</v>
      </c>
      <c r="J115" s="3">
        <v>18603</v>
      </c>
      <c r="K115" s="3">
        <v>15758</v>
      </c>
      <c r="L115" s="3">
        <v>13361</v>
      </c>
      <c r="M115" s="3">
        <v>10355</v>
      </c>
      <c r="N115" s="3">
        <v>7742</v>
      </c>
      <c r="O115" s="3">
        <v>6444</v>
      </c>
      <c r="P115" s="3">
        <v>5462</v>
      </c>
      <c r="Q115" s="3">
        <v>4774</v>
      </c>
      <c r="R115" s="3">
        <v>3500</v>
      </c>
      <c r="S115" s="3">
        <v>2687</v>
      </c>
      <c r="T115" s="3">
        <v>2154</v>
      </c>
      <c r="U115" s="3">
        <v>1659</v>
      </c>
      <c r="V115" s="3">
        <v>1192</v>
      </c>
      <c r="W115" s="3">
        <v>859</v>
      </c>
      <c r="X115" s="3">
        <v>617</v>
      </c>
      <c r="Y115" s="3">
        <v>540</v>
      </c>
      <c r="Z115" s="3">
        <v>58660</v>
      </c>
      <c r="AA115" s="3">
        <v>10474</v>
      </c>
      <c r="AB115" s="3">
        <v>9435</v>
      </c>
      <c r="AC115" s="3">
        <v>8067</v>
      </c>
      <c r="AD115" s="3">
        <v>7052</v>
      </c>
      <c r="AE115" s="3">
        <v>5338</v>
      </c>
      <c r="AF115" s="3">
        <v>3832</v>
      </c>
      <c r="AG115" s="3">
        <v>3106</v>
      </c>
      <c r="AH115" s="3">
        <v>2640</v>
      </c>
      <c r="AI115" s="3">
        <v>2364</v>
      </c>
      <c r="AJ115" s="3">
        <v>1773</v>
      </c>
      <c r="AK115" s="3">
        <v>1317</v>
      </c>
      <c r="AL115" s="3">
        <v>1034</v>
      </c>
      <c r="AM115" s="3">
        <v>733</v>
      </c>
      <c r="AN115" s="3">
        <v>586</v>
      </c>
      <c r="AO115" s="3">
        <v>421</v>
      </c>
      <c r="AP115" s="3">
        <v>271</v>
      </c>
      <c r="AQ115" s="3">
        <v>217</v>
      </c>
      <c r="AR115" s="3">
        <v>58080</v>
      </c>
      <c r="AS115" s="3">
        <v>10559</v>
      </c>
      <c r="AT115" s="3">
        <v>9168</v>
      </c>
      <c r="AU115" s="3">
        <v>7691</v>
      </c>
      <c r="AV115" s="3">
        <v>6309</v>
      </c>
      <c r="AW115" s="3">
        <v>5017</v>
      </c>
      <c r="AX115" s="3">
        <v>3910</v>
      </c>
      <c r="AY115" s="3">
        <v>3338</v>
      </c>
      <c r="AZ115" s="3">
        <v>2822</v>
      </c>
      <c r="BA115" s="3">
        <v>2410</v>
      </c>
      <c r="BB115" s="3">
        <v>1727</v>
      </c>
      <c r="BC115" s="3">
        <v>1370</v>
      </c>
      <c r="BD115" s="3">
        <v>1120</v>
      </c>
      <c r="BE115" s="3">
        <v>926</v>
      </c>
      <c r="BF115" s="3">
        <v>606</v>
      </c>
      <c r="BG115" s="3">
        <v>438</v>
      </c>
      <c r="BH115" s="3">
        <v>346</v>
      </c>
      <c r="BI115" s="3">
        <v>323</v>
      </c>
    </row>
    <row r="116" spans="1:61" x14ac:dyDescent="0.25">
      <c r="A116" s="12" t="s">
        <v>3</v>
      </c>
      <c r="B116" s="12" t="s">
        <v>291</v>
      </c>
      <c r="C116" s="2" t="s">
        <v>96</v>
      </c>
      <c r="D116" s="2" t="s">
        <v>290</v>
      </c>
      <c r="E116" s="2" t="s">
        <v>108</v>
      </c>
      <c r="F116" s="2" t="s">
        <v>110</v>
      </c>
      <c r="G116" s="2">
        <v>2020</v>
      </c>
      <c r="H116" s="3">
        <v>122377</v>
      </c>
      <c r="I116" s="3">
        <v>24110</v>
      </c>
      <c r="J116" s="3">
        <v>21046</v>
      </c>
      <c r="K116" s="3">
        <v>17149</v>
      </c>
      <c r="L116" s="3">
        <v>12984</v>
      </c>
      <c r="M116" s="3">
        <v>10226</v>
      </c>
      <c r="N116" s="3">
        <v>7733</v>
      </c>
      <c r="O116" s="3">
        <v>6589</v>
      </c>
      <c r="P116" s="3">
        <v>5401</v>
      </c>
      <c r="Q116" s="3">
        <v>4732</v>
      </c>
      <c r="R116" s="3">
        <v>3433</v>
      </c>
      <c r="S116" s="3">
        <v>2571</v>
      </c>
      <c r="T116" s="3">
        <v>1932</v>
      </c>
      <c r="U116" s="3">
        <v>1495</v>
      </c>
      <c r="V116" s="3">
        <v>1100</v>
      </c>
      <c r="W116" s="3">
        <v>797</v>
      </c>
      <c r="X116" s="3">
        <v>576</v>
      </c>
      <c r="Y116" s="3">
        <v>503</v>
      </c>
      <c r="Z116" s="3">
        <v>61290</v>
      </c>
      <c r="AA116" s="3">
        <v>12219</v>
      </c>
      <c r="AB116" s="3">
        <v>10723</v>
      </c>
      <c r="AC116" s="3">
        <v>8604</v>
      </c>
      <c r="AD116" s="3">
        <v>6772</v>
      </c>
      <c r="AE116" s="3">
        <v>5310</v>
      </c>
      <c r="AF116" s="3">
        <v>3762</v>
      </c>
      <c r="AG116" s="3">
        <v>3250</v>
      </c>
      <c r="AH116" s="3">
        <v>2605</v>
      </c>
      <c r="AI116" s="3">
        <v>2269</v>
      </c>
      <c r="AJ116" s="3">
        <v>1637</v>
      </c>
      <c r="AK116" s="3">
        <v>1275</v>
      </c>
      <c r="AL116" s="3">
        <v>904</v>
      </c>
      <c r="AM116" s="3">
        <v>669</v>
      </c>
      <c r="AN116" s="3">
        <v>505</v>
      </c>
      <c r="AO116" s="3">
        <v>363</v>
      </c>
      <c r="AP116" s="3">
        <v>235</v>
      </c>
      <c r="AQ116" s="3">
        <v>188</v>
      </c>
      <c r="AR116" s="3">
        <v>61087</v>
      </c>
      <c r="AS116" s="3">
        <v>11891</v>
      </c>
      <c r="AT116" s="3">
        <v>10323</v>
      </c>
      <c r="AU116" s="3">
        <v>8545</v>
      </c>
      <c r="AV116" s="3">
        <v>6212</v>
      </c>
      <c r="AW116" s="3">
        <v>4916</v>
      </c>
      <c r="AX116" s="3">
        <v>3971</v>
      </c>
      <c r="AY116" s="3">
        <v>3339</v>
      </c>
      <c r="AZ116" s="3">
        <v>2796</v>
      </c>
      <c r="BA116" s="3">
        <v>2463</v>
      </c>
      <c r="BB116" s="3">
        <v>1796</v>
      </c>
      <c r="BC116" s="3">
        <v>1296</v>
      </c>
      <c r="BD116" s="3">
        <v>1028</v>
      </c>
      <c r="BE116" s="3">
        <v>826</v>
      </c>
      <c r="BF116" s="3">
        <v>595</v>
      </c>
      <c r="BG116" s="3">
        <v>434</v>
      </c>
      <c r="BH116" s="3">
        <v>341</v>
      </c>
      <c r="BI116" s="3">
        <v>315</v>
      </c>
    </row>
    <row r="117" spans="1:61" x14ac:dyDescent="0.25">
      <c r="A117" s="12" t="s">
        <v>3</v>
      </c>
      <c r="B117" s="12" t="s">
        <v>291</v>
      </c>
      <c r="C117" s="2" t="s">
        <v>199</v>
      </c>
      <c r="D117" s="2" t="s">
        <v>446</v>
      </c>
      <c r="E117" s="2" t="s">
        <v>213</v>
      </c>
      <c r="F117" s="2" t="s">
        <v>214</v>
      </c>
      <c r="G117" s="2">
        <v>2020</v>
      </c>
      <c r="H117" s="3">
        <v>196108</v>
      </c>
      <c r="I117" s="3">
        <v>39729</v>
      </c>
      <c r="J117" s="3">
        <v>32476</v>
      </c>
      <c r="K117" s="3">
        <v>25485</v>
      </c>
      <c r="L117" s="3">
        <v>18931</v>
      </c>
      <c r="M117" s="3">
        <v>15528</v>
      </c>
      <c r="N117" s="3">
        <v>12890</v>
      </c>
      <c r="O117" s="3">
        <v>10068</v>
      </c>
      <c r="P117" s="3">
        <v>9016</v>
      </c>
      <c r="Q117" s="3">
        <v>8057</v>
      </c>
      <c r="R117" s="3">
        <v>6666</v>
      </c>
      <c r="S117" s="3">
        <v>4767</v>
      </c>
      <c r="T117" s="3">
        <v>3422</v>
      </c>
      <c r="U117" s="3">
        <v>2980</v>
      </c>
      <c r="V117" s="3">
        <v>2359</v>
      </c>
      <c r="W117" s="3">
        <v>1717</v>
      </c>
      <c r="X117" s="3">
        <v>1149</v>
      </c>
      <c r="Y117" s="3">
        <v>868</v>
      </c>
      <c r="Z117" s="3">
        <v>98073</v>
      </c>
      <c r="AA117" s="3">
        <v>20107</v>
      </c>
      <c r="AB117" s="3">
        <v>16528</v>
      </c>
      <c r="AC117" s="3">
        <v>13175</v>
      </c>
      <c r="AD117" s="3">
        <v>9537</v>
      </c>
      <c r="AE117" s="3">
        <v>7453</v>
      </c>
      <c r="AF117" s="3">
        <v>6436</v>
      </c>
      <c r="AG117" s="3">
        <v>5027</v>
      </c>
      <c r="AH117" s="3">
        <v>4374</v>
      </c>
      <c r="AI117" s="3">
        <v>3985</v>
      </c>
      <c r="AJ117" s="3">
        <v>3390</v>
      </c>
      <c r="AK117" s="3">
        <v>2373</v>
      </c>
      <c r="AL117" s="3">
        <v>1565</v>
      </c>
      <c r="AM117" s="3">
        <v>1320</v>
      </c>
      <c r="AN117" s="3">
        <v>1094</v>
      </c>
      <c r="AO117" s="3">
        <v>812</v>
      </c>
      <c r="AP117" s="3">
        <v>549</v>
      </c>
      <c r="AQ117" s="3">
        <v>348</v>
      </c>
      <c r="AR117" s="3">
        <v>98035</v>
      </c>
      <c r="AS117" s="3">
        <v>19622</v>
      </c>
      <c r="AT117" s="3">
        <v>15948</v>
      </c>
      <c r="AU117" s="3">
        <v>12310</v>
      </c>
      <c r="AV117" s="3">
        <v>9394</v>
      </c>
      <c r="AW117" s="3">
        <v>8075</v>
      </c>
      <c r="AX117" s="3">
        <v>6454</v>
      </c>
      <c r="AY117" s="3">
        <v>5041</v>
      </c>
      <c r="AZ117" s="3">
        <v>4642</v>
      </c>
      <c r="BA117" s="3">
        <v>4072</v>
      </c>
      <c r="BB117" s="3">
        <v>3276</v>
      </c>
      <c r="BC117" s="3">
        <v>2394</v>
      </c>
      <c r="BD117" s="3">
        <v>1857</v>
      </c>
      <c r="BE117" s="3">
        <v>1660</v>
      </c>
      <c r="BF117" s="3">
        <v>1265</v>
      </c>
      <c r="BG117" s="3">
        <v>905</v>
      </c>
      <c r="BH117" s="3">
        <v>600</v>
      </c>
      <c r="BI117" s="3">
        <v>520</v>
      </c>
    </row>
    <row r="118" spans="1:61" x14ac:dyDescent="0.25">
      <c r="A118" s="12" t="s">
        <v>3</v>
      </c>
      <c r="B118" s="12" t="s">
        <v>291</v>
      </c>
      <c r="C118" s="2" t="s">
        <v>158</v>
      </c>
      <c r="D118" s="2" t="s">
        <v>363</v>
      </c>
      <c r="E118" s="2" t="s">
        <v>167</v>
      </c>
      <c r="F118" s="2" t="s">
        <v>168</v>
      </c>
      <c r="G118" s="2">
        <v>2020</v>
      </c>
      <c r="H118" s="3">
        <v>37712</v>
      </c>
      <c r="I118" s="3">
        <v>7116</v>
      </c>
      <c r="J118" s="3">
        <v>6280</v>
      </c>
      <c r="K118" s="3">
        <v>4974</v>
      </c>
      <c r="L118" s="3">
        <v>3898</v>
      </c>
      <c r="M118" s="3">
        <v>3040</v>
      </c>
      <c r="N118" s="3">
        <v>2460</v>
      </c>
      <c r="O118" s="3">
        <v>1984</v>
      </c>
      <c r="P118" s="3">
        <v>1800</v>
      </c>
      <c r="Q118" s="3">
        <v>1772</v>
      </c>
      <c r="R118" s="3">
        <v>1256</v>
      </c>
      <c r="S118" s="3">
        <v>916</v>
      </c>
      <c r="T118" s="3">
        <v>678</v>
      </c>
      <c r="U118" s="3">
        <v>580</v>
      </c>
      <c r="V118" s="3">
        <v>384</v>
      </c>
      <c r="W118" s="3">
        <v>302</v>
      </c>
      <c r="X118" s="3">
        <v>166</v>
      </c>
      <c r="Y118" s="3">
        <v>106</v>
      </c>
      <c r="Z118" s="3">
        <v>19027</v>
      </c>
      <c r="AA118" s="3">
        <v>3709</v>
      </c>
      <c r="AB118" s="3">
        <v>3224</v>
      </c>
      <c r="AC118" s="3">
        <v>2539</v>
      </c>
      <c r="AD118" s="3">
        <v>1956</v>
      </c>
      <c r="AE118" s="3">
        <v>1462</v>
      </c>
      <c r="AF118" s="3">
        <v>1234</v>
      </c>
      <c r="AG118" s="3">
        <v>975</v>
      </c>
      <c r="AH118" s="3">
        <v>864</v>
      </c>
      <c r="AI118" s="3">
        <v>876</v>
      </c>
      <c r="AJ118" s="3">
        <v>682</v>
      </c>
      <c r="AK118" s="3">
        <v>478</v>
      </c>
      <c r="AL118" s="3">
        <v>331</v>
      </c>
      <c r="AM118" s="3">
        <v>238</v>
      </c>
      <c r="AN118" s="3">
        <v>190</v>
      </c>
      <c r="AO118" s="3">
        <v>148</v>
      </c>
      <c r="AP118" s="3">
        <v>73</v>
      </c>
      <c r="AQ118" s="3">
        <v>48</v>
      </c>
      <c r="AR118" s="3">
        <v>18685</v>
      </c>
      <c r="AS118" s="3">
        <v>3407</v>
      </c>
      <c r="AT118" s="3">
        <v>3056</v>
      </c>
      <c r="AU118" s="3">
        <v>2435</v>
      </c>
      <c r="AV118" s="3">
        <v>1942</v>
      </c>
      <c r="AW118" s="3">
        <v>1578</v>
      </c>
      <c r="AX118" s="3">
        <v>1226</v>
      </c>
      <c r="AY118" s="3">
        <v>1009</v>
      </c>
      <c r="AZ118" s="3">
        <v>936</v>
      </c>
      <c r="BA118" s="3">
        <v>896</v>
      </c>
      <c r="BB118" s="3">
        <v>574</v>
      </c>
      <c r="BC118" s="3">
        <v>438</v>
      </c>
      <c r="BD118" s="3">
        <v>347</v>
      </c>
      <c r="BE118" s="3">
        <v>342</v>
      </c>
      <c r="BF118" s="3">
        <v>194</v>
      </c>
      <c r="BG118" s="3">
        <v>154</v>
      </c>
      <c r="BH118" s="3">
        <v>93</v>
      </c>
      <c r="BI118" s="3">
        <v>58</v>
      </c>
    </row>
    <row r="119" spans="1:61" x14ac:dyDescent="0.25">
      <c r="A119" s="12" t="s">
        <v>3</v>
      </c>
      <c r="B119" s="12" t="s">
        <v>291</v>
      </c>
      <c r="C119" s="2" t="s">
        <v>158</v>
      </c>
      <c r="D119" s="2" t="s">
        <v>363</v>
      </c>
      <c r="E119" s="2" t="s">
        <v>167</v>
      </c>
      <c r="F119" s="2" t="s">
        <v>169</v>
      </c>
      <c r="G119" s="2">
        <v>2020</v>
      </c>
      <c r="H119" s="3">
        <v>21104</v>
      </c>
      <c r="I119" s="3">
        <v>3882</v>
      </c>
      <c r="J119" s="3">
        <v>3474</v>
      </c>
      <c r="K119" s="3">
        <v>2829</v>
      </c>
      <c r="L119" s="3">
        <v>2150</v>
      </c>
      <c r="M119" s="3">
        <v>1422</v>
      </c>
      <c r="N119" s="3">
        <v>1295</v>
      </c>
      <c r="O119" s="3">
        <v>1225</v>
      </c>
      <c r="P119" s="3">
        <v>1083</v>
      </c>
      <c r="Q119" s="3">
        <v>975</v>
      </c>
      <c r="R119" s="3">
        <v>800</v>
      </c>
      <c r="S119" s="3">
        <v>614</v>
      </c>
      <c r="T119" s="3">
        <v>464</v>
      </c>
      <c r="U119" s="3">
        <v>368</v>
      </c>
      <c r="V119" s="3">
        <v>210</v>
      </c>
      <c r="W119" s="3">
        <v>165</v>
      </c>
      <c r="X119" s="3">
        <v>90</v>
      </c>
      <c r="Y119" s="3">
        <v>58</v>
      </c>
      <c r="Z119" s="3">
        <v>10337</v>
      </c>
      <c r="AA119" s="3">
        <v>1922</v>
      </c>
      <c r="AB119" s="3">
        <v>1741</v>
      </c>
      <c r="AC119" s="3">
        <v>1439</v>
      </c>
      <c r="AD119" s="3">
        <v>1103</v>
      </c>
      <c r="AE119" s="3">
        <v>661</v>
      </c>
      <c r="AF119" s="3">
        <v>597</v>
      </c>
      <c r="AG119" s="3">
        <v>585</v>
      </c>
      <c r="AH119" s="3">
        <v>475</v>
      </c>
      <c r="AI119" s="3">
        <v>475</v>
      </c>
      <c r="AJ119" s="3">
        <v>405</v>
      </c>
      <c r="AK119" s="3">
        <v>324</v>
      </c>
      <c r="AL119" s="3">
        <v>215</v>
      </c>
      <c r="AM119" s="3">
        <v>140</v>
      </c>
      <c r="AN119" s="3">
        <v>105</v>
      </c>
      <c r="AO119" s="3">
        <v>82</v>
      </c>
      <c r="AP119" s="3">
        <v>41</v>
      </c>
      <c r="AQ119" s="3">
        <v>27</v>
      </c>
      <c r="AR119" s="3">
        <v>10767</v>
      </c>
      <c r="AS119" s="3">
        <v>1960</v>
      </c>
      <c r="AT119" s="3">
        <v>1733</v>
      </c>
      <c r="AU119" s="3">
        <v>1390</v>
      </c>
      <c r="AV119" s="3">
        <v>1047</v>
      </c>
      <c r="AW119" s="3">
        <v>761</v>
      </c>
      <c r="AX119" s="3">
        <v>698</v>
      </c>
      <c r="AY119" s="3">
        <v>640</v>
      </c>
      <c r="AZ119" s="3">
        <v>608</v>
      </c>
      <c r="BA119" s="3">
        <v>500</v>
      </c>
      <c r="BB119" s="3">
        <v>395</v>
      </c>
      <c r="BC119" s="3">
        <v>290</v>
      </c>
      <c r="BD119" s="3">
        <v>249</v>
      </c>
      <c r="BE119" s="3">
        <v>228</v>
      </c>
      <c r="BF119" s="3">
        <v>105</v>
      </c>
      <c r="BG119" s="3">
        <v>83</v>
      </c>
      <c r="BH119" s="3">
        <v>49</v>
      </c>
      <c r="BI119" s="3">
        <v>31</v>
      </c>
    </row>
    <row r="120" spans="1:61" x14ac:dyDescent="0.25">
      <c r="A120" s="12" t="s">
        <v>3</v>
      </c>
      <c r="B120" s="12" t="s">
        <v>291</v>
      </c>
      <c r="C120" s="2" t="s">
        <v>158</v>
      </c>
      <c r="D120" s="2" t="s">
        <v>363</v>
      </c>
      <c r="E120" s="2" t="s">
        <v>167</v>
      </c>
      <c r="F120" s="2" t="s">
        <v>167</v>
      </c>
      <c r="G120" s="2">
        <v>2020</v>
      </c>
      <c r="H120" s="3">
        <v>77563</v>
      </c>
      <c r="I120" s="3">
        <v>14167</v>
      </c>
      <c r="J120" s="3">
        <v>12228</v>
      </c>
      <c r="K120" s="3">
        <v>10321</v>
      </c>
      <c r="L120" s="3">
        <v>8105</v>
      </c>
      <c r="M120" s="3">
        <v>6320</v>
      </c>
      <c r="N120" s="3">
        <v>5039</v>
      </c>
      <c r="O120" s="3">
        <v>4230</v>
      </c>
      <c r="P120" s="3">
        <v>3728</v>
      </c>
      <c r="Q120" s="3">
        <v>3571</v>
      </c>
      <c r="R120" s="3">
        <v>2765</v>
      </c>
      <c r="S120" s="3">
        <v>2107</v>
      </c>
      <c r="T120" s="3">
        <v>1601</v>
      </c>
      <c r="U120" s="3">
        <v>1328</v>
      </c>
      <c r="V120" s="3">
        <v>820</v>
      </c>
      <c r="W120" s="3">
        <v>648</v>
      </c>
      <c r="X120" s="3">
        <v>357</v>
      </c>
      <c r="Y120" s="3">
        <v>228</v>
      </c>
      <c r="Z120" s="3">
        <v>38282</v>
      </c>
      <c r="AA120" s="3">
        <v>7124</v>
      </c>
      <c r="AB120" s="3">
        <v>6208</v>
      </c>
      <c r="AC120" s="3">
        <v>5301</v>
      </c>
      <c r="AD120" s="3">
        <v>4085</v>
      </c>
      <c r="AE120" s="3">
        <v>3092</v>
      </c>
      <c r="AF120" s="3">
        <v>2297</v>
      </c>
      <c r="AG120" s="3">
        <v>1975</v>
      </c>
      <c r="AH120" s="3">
        <v>1724</v>
      </c>
      <c r="AI120" s="3">
        <v>1754</v>
      </c>
      <c r="AJ120" s="3">
        <v>1402</v>
      </c>
      <c r="AK120" s="3">
        <v>1080</v>
      </c>
      <c r="AL120" s="3">
        <v>745</v>
      </c>
      <c r="AM120" s="3">
        <v>555</v>
      </c>
      <c r="AN120" s="3">
        <v>389</v>
      </c>
      <c r="AO120" s="3">
        <v>303</v>
      </c>
      <c r="AP120" s="3">
        <v>149</v>
      </c>
      <c r="AQ120" s="3">
        <v>99</v>
      </c>
      <c r="AR120" s="3">
        <v>39281</v>
      </c>
      <c r="AS120" s="3">
        <v>7043</v>
      </c>
      <c r="AT120" s="3">
        <v>6020</v>
      </c>
      <c r="AU120" s="3">
        <v>5020</v>
      </c>
      <c r="AV120" s="3">
        <v>4020</v>
      </c>
      <c r="AW120" s="3">
        <v>3228</v>
      </c>
      <c r="AX120" s="3">
        <v>2742</v>
      </c>
      <c r="AY120" s="3">
        <v>2255</v>
      </c>
      <c r="AZ120" s="3">
        <v>2004</v>
      </c>
      <c r="BA120" s="3">
        <v>1817</v>
      </c>
      <c r="BB120" s="3">
        <v>1363</v>
      </c>
      <c r="BC120" s="3">
        <v>1027</v>
      </c>
      <c r="BD120" s="3">
        <v>856</v>
      </c>
      <c r="BE120" s="3">
        <v>773</v>
      </c>
      <c r="BF120" s="3">
        <v>431</v>
      </c>
      <c r="BG120" s="3">
        <v>345</v>
      </c>
      <c r="BH120" s="3">
        <v>208</v>
      </c>
      <c r="BI120" s="3">
        <v>129</v>
      </c>
    </row>
    <row r="121" spans="1:61" x14ac:dyDescent="0.25">
      <c r="A121" s="12" t="s">
        <v>3</v>
      </c>
      <c r="B121" s="12" t="s">
        <v>291</v>
      </c>
      <c r="C121" s="2" t="s">
        <v>215</v>
      </c>
      <c r="D121" s="2" t="s">
        <v>422</v>
      </c>
      <c r="E121" s="2" t="s">
        <v>223</v>
      </c>
      <c r="F121" s="2" t="s">
        <v>223</v>
      </c>
      <c r="G121" s="2">
        <v>2020</v>
      </c>
      <c r="H121" s="3">
        <v>123143</v>
      </c>
      <c r="I121" s="3">
        <v>25010</v>
      </c>
      <c r="J121" s="3">
        <v>20633</v>
      </c>
      <c r="K121" s="3">
        <v>16864</v>
      </c>
      <c r="L121" s="3">
        <v>13227</v>
      </c>
      <c r="M121" s="3">
        <v>9968</v>
      </c>
      <c r="N121" s="3">
        <v>8034</v>
      </c>
      <c r="O121" s="3">
        <v>6090</v>
      </c>
      <c r="P121" s="3">
        <v>5433</v>
      </c>
      <c r="Q121" s="3">
        <v>4776</v>
      </c>
      <c r="R121" s="3">
        <v>3679</v>
      </c>
      <c r="S121" s="3">
        <v>2650</v>
      </c>
      <c r="T121" s="3">
        <v>2011</v>
      </c>
      <c r="U121" s="3">
        <v>1680</v>
      </c>
      <c r="V121" s="3">
        <v>1087</v>
      </c>
      <c r="W121" s="3">
        <v>968</v>
      </c>
      <c r="X121" s="3">
        <v>599</v>
      </c>
      <c r="Y121" s="3">
        <v>434</v>
      </c>
      <c r="Z121" s="3">
        <v>61229</v>
      </c>
      <c r="AA121" s="3">
        <v>12660</v>
      </c>
      <c r="AB121" s="3">
        <v>10309</v>
      </c>
      <c r="AC121" s="3">
        <v>8677</v>
      </c>
      <c r="AD121" s="3">
        <v>6871</v>
      </c>
      <c r="AE121" s="3">
        <v>5142</v>
      </c>
      <c r="AF121" s="3">
        <v>3796</v>
      </c>
      <c r="AG121" s="3">
        <v>2908</v>
      </c>
      <c r="AH121" s="3">
        <v>2537</v>
      </c>
      <c r="AI121" s="3">
        <v>2256</v>
      </c>
      <c r="AJ121" s="3">
        <v>1823</v>
      </c>
      <c r="AK121" s="3">
        <v>1320</v>
      </c>
      <c r="AL121" s="3">
        <v>884</v>
      </c>
      <c r="AM121" s="3">
        <v>718</v>
      </c>
      <c r="AN121" s="3">
        <v>491</v>
      </c>
      <c r="AO121" s="3">
        <v>418</v>
      </c>
      <c r="AP121" s="3">
        <v>241</v>
      </c>
      <c r="AQ121" s="3">
        <v>178</v>
      </c>
      <c r="AR121" s="3">
        <v>61914</v>
      </c>
      <c r="AS121" s="3">
        <v>12350</v>
      </c>
      <c r="AT121" s="3">
        <v>10324</v>
      </c>
      <c r="AU121" s="3">
        <v>8187</v>
      </c>
      <c r="AV121" s="3">
        <v>6356</v>
      </c>
      <c r="AW121" s="3">
        <v>4826</v>
      </c>
      <c r="AX121" s="3">
        <v>4238</v>
      </c>
      <c r="AY121" s="3">
        <v>3182</v>
      </c>
      <c r="AZ121" s="3">
        <v>2896</v>
      </c>
      <c r="BA121" s="3">
        <v>2520</v>
      </c>
      <c r="BB121" s="3">
        <v>1856</v>
      </c>
      <c r="BC121" s="3">
        <v>1330</v>
      </c>
      <c r="BD121" s="3">
        <v>1127</v>
      </c>
      <c r="BE121" s="3">
        <v>962</v>
      </c>
      <c r="BF121" s="3">
        <v>596</v>
      </c>
      <c r="BG121" s="3">
        <v>550</v>
      </c>
      <c r="BH121" s="3">
        <v>358</v>
      </c>
      <c r="BI121" s="3">
        <v>256</v>
      </c>
    </row>
    <row r="122" spans="1:61" x14ac:dyDescent="0.25">
      <c r="A122" s="12" t="s">
        <v>3</v>
      </c>
      <c r="B122" s="12" t="s">
        <v>291</v>
      </c>
      <c r="C122" s="2" t="s">
        <v>113</v>
      </c>
      <c r="D122" s="2" t="s">
        <v>404</v>
      </c>
      <c r="E122" s="2" t="s">
        <v>198</v>
      </c>
      <c r="F122" s="2" t="s">
        <v>198</v>
      </c>
      <c r="G122" s="2">
        <v>2020</v>
      </c>
      <c r="H122" s="3">
        <v>184259</v>
      </c>
      <c r="I122" s="3">
        <v>35944</v>
      </c>
      <c r="J122" s="3">
        <v>30132</v>
      </c>
      <c r="K122" s="3">
        <v>22752</v>
      </c>
      <c r="L122" s="3">
        <v>18864</v>
      </c>
      <c r="M122" s="3">
        <v>16866</v>
      </c>
      <c r="N122" s="3">
        <v>14240</v>
      </c>
      <c r="O122" s="3">
        <v>10512</v>
      </c>
      <c r="P122" s="3">
        <v>9122</v>
      </c>
      <c r="Q122" s="3">
        <v>7307</v>
      </c>
      <c r="R122" s="3">
        <v>5366</v>
      </c>
      <c r="S122" s="3">
        <v>3783</v>
      </c>
      <c r="T122" s="3">
        <v>2866</v>
      </c>
      <c r="U122" s="3">
        <v>2389</v>
      </c>
      <c r="V122" s="3">
        <v>1599</v>
      </c>
      <c r="W122" s="3">
        <v>1202</v>
      </c>
      <c r="X122" s="3">
        <v>755</v>
      </c>
      <c r="Y122" s="3">
        <v>560</v>
      </c>
      <c r="Z122" s="3">
        <v>91851</v>
      </c>
      <c r="AA122" s="3">
        <v>17973</v>
      </c>
      <c r="AB122" s="3">
        <v>15092</v>
      </c>
      <c r="AC122" s="3">
        <v>11516</v>
      </c>
      <c r="AD122" s="3">
        <v>9218</v>
      </c>
      <c r="AE122" s="3">
        <v>8184</v>
      </c>
      <c r="AF122" s="3">
        <v>7227</v>
      </c>
      <c r="AG122" s="3">
        <v>5322</v>
      </c>
      <c r="AH122" s="3">
        <v>4618</v>
      </c>
      <c r="AI122" s="3">
        <v>3670</v>
      </c>
      <c r="AJ122" s="3">
        <v>2783</v>
      </c>
      <c r="AK122" s="3">
        <v>1934</v>
      </c>
      <c r="AL122" s="3">
        <v>1384</v>
      </c>
      <c r="AM122" s="3">
        <v>1055</v>
      </c>
      <c r="AN122" s="3">
        <v>745</v>
      </c>
      <c r="AO122" s="3">
        <v>588</v>
      </c>
      <c r="AP122" s="3">
        <v>338</v>
      </c>
      <c r="AQ122" s="3">
        <v>204</v>
      </c>
      <c r="AR122" s="3">
        <v>92408</v>
      </c>
      <c r="AS122" s="3">
        <v>17971</v>
      </c>
      <c r="AT122" s="3">
        <v>15040</v>
      </c>
      <c r="AU122" s="3">
        <v>11236</v>
      </c>
      <c r="AV122" s="3">
        <v>9646</v>
      </c>
      <c r="AW122" s="3">
        <v>8682</v>
      </c>
      <c r="AX122" s="3">
        <v>7013</v>
      </c>
      <c r="AY122" s="3">
        <v>5190</v>
      </c>
      <c r="AZ122" s="3">
        <v>4504</v>
      </c>
      <c r="BA122" s="3">
        <v>3637</v>
      </c>
      <c r="BB122" s="3">
        <v>2583</v>
      </c>
      <c r="BC122" s="3">
        <v>1849</v>
      </c>
      <c r="BD122" s="3">
        <v>1482</v>
      </c>
      <c r="BE122" s="3">
        <v>1334</v>
      </c>
      <c r="BF122" s="3">
        <v>854</v>
      </c>
      <c r="BG122" s="3">
        <v>614</v>
      </c>
      <c r="BH122" s="3">
        <v>417</v>
      </c>
      <c r="BI122" s="3">
        <v>356</v>
      </c>
    </row>
    <row r="123" spans="1:61" x14ac:dyDescent="0.25">
      <c r="A123" s="12" t="s">
        <v>3</v>
      </c>
      <c r="B123" s="12" t="s">
        <v>291</v>
      </c>
      <c r="C123" s="2" t="s">
        <v>231</v>
      </c>
      <c r="D123" s="2" t="s">
        <v>470</v>
      </c>
      <c r="E123" s="2" t="s">
        <v>250</v>
      </c>
      <c r="F123" s="2" t="s">
        <v>250</v>
      </c>
      <c r="G123" s="2">
        <v>2020</v>
      </c>
      <c r="H123" s="3">
        <v>124306</v>
      </c>
      <c r="I123" s="3">
        <v>26304</v>
      </c>
      <c r="J123" s="3">
        <v>21112</v>
      </c>
      <c r="K123" s="3">
        <v>16467</v>
      </c>
      <c r="L123" s="3">
        <v>12963</v>
      </c>
      <c r="M123" s="3">
        <v>11242</v>
      </c>
      <c r="N123" s="3">
        <v>8135</v>
      </c>
      <c r="O123" s="3">
        <v>6788</v>
      </c>
      <c r="P123" s="3">
        <v>5513</v>
      </c>
      <c r="Q123" s="3">
        <v>4680</v>
      </c>
      <c r="R123" s="3">
        <v>3147</v>
      </c>
      <c r="S123" s="3">
        <v>2347</v>
      </c>
      <c r="T123" s="3">
        <v>1649</v>
      </c>
      <c r="U123" s="3">
        <v>1299</v>
      </c>
      <c r="V123" s="3">
        <v>877</v>
      </c>
      <c r="W123" s="3">
        <v>759</v>
      </c>
      <c r="X123" s="3">
        <v>563</v>
      </c>
      <c r="Y123" s="3">
        <v>461</v>
      </c>
      <c r="Z123" s="3">
        <v>61335</v>
      </c>
      <c r="AA123" s="3">
        <v>13298</v>
      </c>
      <c r="AB123" s="3">
        <v>10549</v>
      </c>
      <c r="AC123" s="3">
        <v>8344</v>
      </c>
      <c r="AD123" s="3">
        <v>6596</v>
      </c>
      <c r="AE123" s="3">
        <v>5819</v>
      </c>
      <c r="AF123" s="3">
        <v>3955</v>
      </c>
      <c r="AG123" s="3">
        <v>3146</v>
      </c>
      <c r="AH123" s="3">
        <v>2568</v>
      </c>
      <c r="AI123" s="3">
        <v>2105</v>
      </c>
      <c r="AJ123" s="3">
        <v>1496</v>
      </c>
      <c r="AK123" s="3">
        <v>1089</v>
      </c>
      <c r="AL123" s="3">
        <v>708</v>
      </c>
      <c r="AM123" s="3">
        <v>531</v>
      </c>
      <c r="AN123" s="3">
        <v>383</v>
      </c>
      <c r="AO123" s="3">
        <v>320</v>
      </c>
      <c r="AP123" s="3">
        <v>261</v>
      </c>
      <c r="AQ123" s="3">
        <v>167</v>
      </c>
      <c r="AR123" s="3">
        <v>62971</v>
      </c>
      <c r="AS123" s="3">
        <v>13006</v>
      </c>
      <c r="AT123" s="3">
        <v>10563</v>
      </c>
      <c r="AU123" s="3">
        <v>8123</v>
      </c>
      <c r="AV123" s="3">
        <v>6367</v>
      </c>
      <c r="AW123" s="3">
        <v>5423</v>
      </c>
      <c r="AX123" s="3">
        <v>4180</v>
      </c>
      <c r="AY123" s="3">
        <v>3642</v>
      </c>
      <c r="AZ123" s="3">
        <v>2945</v>
      </c>
      <c r="BA123" s="3">
        <v>2575</v>
      </c>
      <c r="BB123" s="3">
        <v>1651</v>
      </c>
      <c r="BC123" s="3">
        <v>1258</v>
      </c>
      <c r="BD123" s="3">
        <v>941</v>
      </c>
      <c r="BE123" s="3">
        <v>768</v>
      </c>
      <c r="BF123" s="3">
        <v>494</v>
      </c>
      <c r="BG123" s="3">
        <v>439</v>
      </c>
      <c r="BH123" s="3">
        <v>302</v>
      </c>
      <c r="BI123" s="3">
        <v>294</v>
      </c>
    </row>
    <row r="124" spans="1:61" x14ac:dyDescent="0.25">
      <c r="A124" s="12" t="s">
        <v>3</v>
      </c>
      <c r="B124" s="12" t="s">
        <v>291</v>
      </c>
      <c r="C124" s="2" t="s">
        <v>158</v>
      </c>
      <c r="D124" s="2" t="s">
        <v>363</v>
      </c>
      <c r="E124" s="2" t="s">
        <v>170</v>
      </c>
      <c r="F124" s="2" t="s">
        <v>170</v>
      </c>
      <c r="G124" s="2">
        <v>2020</v>
      </c>
      <c r="H124" s="3">
        <v>203872</v>
      </c>
      <c r="I124" s="3">
        <v>38409</v>
      </c>
      <c r="J124" s="3">
        <v>32372</v>
      </c>
      <c r="K124" s="3">
        <v>27008</v>
      </c>
      <c r="L124" s="3">
        <v>20211</v>
      </c>
      <c r="M124" s="3">
        <v>16593</v>
      </c>
      <c r="N124" s="3">
        <v>14778</v>
      </c>
      <c r="O124" s="3">
        <v>12500</v>
      </c>
      <c r="P124" s="3">
        <v>10841</v>
      </c>
      <c r="Q124" s="3">
        <v>9262</v>
      </c>
      <c r="R124" s="3">
        <v>6844</v>
      </c>
      <c r="S124" s="3">
        <v>4794</v>
      </c>
      <c r="T124" s="3">
        <v>3670</v>
      </c>
      <c r="U124" s="3">
        <v>2688</v>
      </c>
      <c r="V124" s="3">
        <v>1642</v>
      </c>
      <c r="W124" s="3">
        <v>1166</v>
      </c>
      <c r="X124" s="3">
        <v>657</v>
      </c>
      <c r="Y124" s="3">
        <v>437</v>
      </c>
      <c r="Z124" s="3">
        <v>102807</v>
      </c>
      <c r="AA124" s="3">
        <v>19185</v>
      </c>
      <c r="AB124" s="3">
        <v>16315</v>
      </c>
      <c r="AC124" s="3">
        <v>13890</v>
      </c>
      <c r="AD124" s="3">
        <v>10260</v>
      </c>
      <c r="AE124" s="3">
        <v>8193</v>
      </c>
      <c r="AF124" s="3">
        <v>7175</v>
      </c>
      <c r="AG124" s="3">
        <v>6323</v>
      </c>
      <c r="AH124" s="3">
        <v>5565</v>
      </c>
      <c r="AI124" s="3">
        <v>4845</v>
      </c>
      <c r="AJ124" s="3">
        <v>3652</v>
      </c>
      <c r="AK124" s="3">
        <v>2566</v>
      </c>
      <c r="AL124" s="3">
        <v>1690</v>
      </c>
      <c r="AM124" s="3">
        <v>1271</v>
      </c>
      <c r="AN124" s="3">
        <v>807</v>
      </c>
      <c r="AO124" s="3">
        <v>562</v>
      </c>
      <c r="AP124" s="3">
        <v>319</v>
      </c>
      <c r="AQ124" s="3">
        <v>189</v>
      </c>
      <c r="AR124" s="3">
        <v>101065</v>
      </c>
      <c r="AS124" s="3">
        <v>19224</v>
      </c>
      <c r="AT124" s="3">
        <v>16057</v>
      </c>
      <c r="AU124" s="3">
        <v>13118</v>
      </c>
      <c r="AV124" s="3">
        <v>9951</v>
      </c>
      <c r="AW124" s="3">
        <v>8400</v>
      </c>
      <c r="AX124" s="3">
        <v>7603</v>
      </c>
      <c r="AY124" s="3">
        <v>6177</v>
      </c>
      <c r="AZ124" s="3">
        <v>5276</v>
      </c>
      <c r="BA124" s="3">
        <v>4417</v>
      </c>
      <c r="BB124" s="3">
        <v>3192</v>
      </c>
      <c r="BC124" s="3">
        <v>2228</v>
      </c>
      <c r="BD124" s="3">
        <v>1980</v>
      </c>
      <c r="BE124" s="3">
        <v>1417</v>
      </c>
      <c r="BF124" s="3">
        <v>835</v>
      </c>
      <c r="BG124" s="3">
        <v>604</v>
      </c>
      <c r="BH124" s="3">
        <v>338</v>
      </c>
      <c r="BI124" s="3">
        <v>248</v>
      </c>
    </row>
    <row r="125" spans="1:61" x14ac:dyDescent="0.25">
      <c r="A125" s="12" t="s">
        <v>3</v>
      </c>
      <c r="B125" s="12" t="s">
        <v>291</v>
      </c>
      <c r="C125" s="2" t="s">
        <v>114</v>
      </c>
      <c r="D125" s="2" t="s">
        <v>313</v>
      </c>
      <c r="E125" s="2" t="s">
        <v>134</v>
      </c>
      <c r="F125" s="2" t="s">
        <v>135</v>
      </c>
      <c r="G125" s="2">
        <v>2020</v>
      </c>
      <c r="H125" s="3">
        <v>132245</v>
      </c>
      <c r="I125" s="3">
        <v>19507</v>
      </c>
      <c r="J125" s="3">
        <v>17880</v>
      </c>
      <c r="K125" s="3">
        <v>17258</v>
      </c>
      <c r="L125" s="3">
        <v>16263</v>
      </c>
      <c r="M125" s="3">
        <v>12819</v>
      </c>
      <c r="N125" s="3">
        <v>10647</v>
      </c>
      <c r="O125" s="3">
        <v>9063</v>
      </c>
      <c r="P125" s="3">
        <v>7534</v>
      </c>
      <c r="Q125" s="3">
        <v>6466</v>
      </c>
      <c r="R125" s="3">
        <v>4634</v>
      </c>
      <c r="S125" s="3">
        <v>3491</v>
      </c>
      <c r="T125" s="3">
        <v>2652</v>
      </c>
      <c r="U125" s="3">
        <v>1751</v>
      </c>
      <c r="V125" s="3">
        <v>992</v>
      </c>
      <c r="W125" s="3">
        <v>669</v>
      </c>
      <c r="X125" s="3">
        <v>362</v>
      </c>
      <c r="Y125" s="3">
        <v>257</v>
      </c>
      <c r="Z125" s="3">
        <v>66676</v>
      </c>
      <c r="AA125" s="3">
        <v>9820</v>
      </c>
      <c r="AB125" s="3">
        <v>8863</v>
      </c>
      <c r="AC125" s="3">
        <v>8453</v>
      </c>
      <c r="AD125" s="3">
        <v>8127</v>
      </c>
      <c r="AE125" s="3">
        <v>6425</v>
      </c>
      <c r="AF125" s="3">
        <v>5294</v>
      </c>
      <c r="AG125" s="3">
        <v>4586</v>
      </c>
      <c r="AH125" s="3">
        <v>3946</v>
      </c>
      <c r="AI125" s="3">
        <v>3475</v>
      </c>
      <c r="AJ125" s="3">
        <v>2436</v>
      </c>
      <c r="AK125" s="3">
        <v>1795</v>
      </c>
      <c r="AL125" s="3">
        <v>1368</v>
      </c>
      <c r="AM125" s="3">
        <v>960</v>
      </c>
      <c r="AN125" s="3">
        <v>534</v>
      </c>
      <c r="AO125" s="3">
        <v>331</v>
      </c>
      <c r="AP125" s="3">
        <v>162</v>
      </c>
      <c r="AQ125" s="3">
        <v>101</v>
      </c>
      <c r="AR125" s="3">
        <v>65569</v>
      </c>
      <c r="AS125" s="3">
        <v>9687</v>
      </c>
      <c r="AT125" s="3">
        <v>9017</v>
      </c>
      <c r="AU125" s="3">
        <v>8805</v>
      </c>
      <c r="AV125" s="3">
        <v>8136</v>
      </c>
      <c r="AW125" s="3">
        <v>6394</v>
      </c>
      <c r="AX125" s="3">
        <v>5353</v>
      </c>
      <c r="AY125" s="3">
        <v>4477</v>
      </c>
      <c r="AZ125" s="3">
        <v>3588</v>
      </c>
      <c r="BA125" s="3">
        <v>2991</v>
      </c>
      <c r="BB125" s="3">
        <v>2198</v>
      </c>
      <c r="BC125" s="3">
        <v>1696</v>
      </c>
      <c r="BD125" s="3">
        <v>1284</v>
      </c>
      <c r="BE125" s="3">
        <v>791</v>
      </c>
      <c r="BF125" s="3">
        <v>458</v>
      </c>
      <c r="BG125" s="3">
        <v>338</v>
      </c>
      <c r="BH125" s="3">
        <v>200</v>
      </c>
      <c r="BI125" s="3">
        <v>156</v>
      </c>
    </row>
    <row r="126" spans="1:61" x14ac:dyDescent="0.25">
      <c r="A126" s="12" t="s">
        <v>3</v>
      </c>
      <c r="B126" s="12" t="s">
        <v>291</v>
      </c>
      <c r="C126" s="2" t="s">
        <v>114</v>
      </c>
      <c r="D126" s="2" t="s">
        <v>313</v>
      </c>
      <c r="E126" s="2" t="s">
        <v>134</v>
      </c>
      <c r="F126" s="2" t="s">
        <v>136</v>
      </c>
      <c r="G126" s="2">
        <v>2020</v>
      </c>
      <c r="H126" s="3">
        <v>123478</v>
      </c>
      <c r="I126" s="3">
        <v>17954</v>
      </c>
      <c r="J126" s="3">
        <v>15619</v>
      </c>
      <c r="K126" s="3">
        <v>16126</v>
      </c>
      <c r="L126" s="3">
        <v>15280</v>
      </c>
      <c r="M126" s="3">
        <v>12443</v>
      </c>
      <c r="N126" s="3">
        <v>10301</v>
      </c>
      <c r="O126" s="3">
        <v>8497</v>
      </c>
      <c r="P126" s="3">
        <v>7248</v>
      </c>
      <c r="Q126" s="3">
        <v>5869</v>
      </c>
      <c r="R126" s="3">
        <v>4248</v>
      </c>
      <c r="S126" s="3">
        <v>3178</v>
      </c>
      <c r="T126" s="3">
        <v>2490</v>
      </c>
      <c r="U126" s="3">
        <v>1655</v>
      </c>
      <c r="V126" s="3">
        <v>1114</v>
      </c>
      <c r="W126" s="3">
        <v>753</v>
      </c>
      <c r="X126" s="3">
        <v>411</v>
      </c>
      <c r="Y126" s="3">
        <v>292</v>
      </c>
      <c r="Z126" s="3">
        <v>61727</v>
      </c>
      <c r="AA126" s="3">
        <v>9041</v>
      </c>
      <c r="AB126" s="3">
        <v>7689</v>
      </c>
      <c r="AC126" s="3">
        <v>7987</v>
      </c>
      <c r="AD126" s="3">
        <v>7624</v>
      </c>
      <c r="AE126" s="3">
        <v>6365</v>
      </c>
      <c r="AF126" s="3">
        <v>5227</v>
      </c>
      <c r="AG126" s="3">
        <v>4235</v>
      </c>
      <c r="AH126" s="3">
        <v>3656</v>
      </c>
      <c r="AI126" s="3">
        <v>3013</v>
      </c>
      <c r="AJ126" s="3">
        <v>2131</v>
      </c>
      <c r="AK126" s="3">
        <v>1578</v>
      </c>
      <c r="AL126" s="3">
        <v>1266</v>
      </c>
      <c r="AM126" s="3">
        <v>732</v>
      </c>
      <c r="AN126" s="3">
        <v>561</v>
      </c>
      <c r="AO126" s="3">
        <v>347</v>
      </c>
      <c r="AP126" s="3">
        <v>170</v>
      </c>
      <c r="AQ126" s="3">
        <v>105</v>
      </c>
      <c r="AR126" s="3">
        <v>61751</v>
      </c>
      <c r="AS126" s="3">
        <v>8913</v>
      </c>
      <c r="AT126" s="3">
        <v>7930</v>
      </c>
      <c r="AU126" s="3">
        <v>8139</v>
      </c>
      <c r="AV126" s="3">
        <v>7656</v>
      </c>
      <c r="AW126" s="3">
        <v>6078</v>
      </c>
      <c r="AX126" s="3">
        <v>5074</v>
      </c>
      <c r="AY126" s="3">
        <v>4262</v>
      </c>
      <c r="AZ126" s="3">
        <v>3592</v>
      </c>
      <c r="BA126" s="3">
        <v>2856</v>
      </c>
      <c r="BB126" s="3">
        <v>2117</v>
      </c>
      <c r="BC126" s="3">
        <v>1600</v>
      </c>
      <c r="BD126" s="3">
        <v>1224</v>
      </c>
      <c r="BE126" s="3">
        <v>923</v>
      </c>
      <c r="BF126" s="3">
        <v>553</v>
      </c>
      <c r="BG126" s="3">
        <v>406</v>
      </c>
      <c r="BH126" s="3">
        <v>241</v>
      </c>
      <c r="BI126" s="3">
        <v>187</v>
      </c>
    </row>
    <row r="127" spans="1:61" x14ac:dyDescent="0.25">
      <c r="A127" s="12" t="s">
        <v>3</v>
      </c>
      <c r="B127" s="12" t="s">
        <v>291</v>
      </c>
      <c r="C127" s="2" t="s">
        <v>114</v>
      </c>
      <c r="D127" s="2" t="s">
        <v>313</v>
      </c>
      <c r="E127" s="2" t="s">
        <v>134</v>
      </c>
      <c r="F127" s="2" t="s">
        <v>137</v>
      </c>
      <c r="G127" s="2">
        <v>2020</v>
      </c>
      <c r="H127" s="3">
        <v>103881</v>
      </c>
      <c r="I127" s="3">
        <v>14743</v>
      </c>
      <c r="J127" s="3">
        <v>12852</v>
      </c>
      <c r="K127" s="3">
        <v>13307</v>
      </c>
      <c r="L127" s="3">
        <v>12843</v>
      </c>
      <c r="M127" s="3">
        <v>10757</v>
      </c>
      <c r="N127" s="3">
        <v>9202</v>
      </c>
      <c r="O127" s="3">
        <v>7532</v>
      </c>
      <c r="P127" s="3">
        <v>6182</v>
      </c>
      <c r="Q127" s="3">
        <v>4979</v>
      </c>
      <c r="R127" s="3">
        <v>3484</v>
      </c>
      <c r="S127" s="3">
        <v>2506</v>
      </c>
      <c r="T127" s="3">
        <v>1938</v>
      </c>
      <c r="U127" s="3">
        <v>1407</v>
      </c>
      <c r="V127" s="3">
        <v>930</v>
      </c>
      <c r="W127" s="3">
        <v>630</v>
      </c>
      <c r="X127" s="3">
        <v>344</v>
      </c>
      <c r="Y127" s="3">
        <v>245</v>
      </c>
      <c r="Z127" s="3">
        <v>51659</v>
      </c>
      <c r="AA127" s="3">
        <v>7474</v>
      </c>
      <c r="AB127" s="3">
        <v>6290</v>
      </c>
      <c r="AC127" s="3">
        <v>6405</v>
      </c>
      <c r="AD127" s="3">
        <v>6307</v>
      </c>
      <c r="AE127" s="3">
        <v>5433</v>
      </c>
      <c r="AF127" s="3">
        <v>4606</v>
      </c>
      <c r="AG127" s="3">
        <v>3837</v>
      </c>
      <c r="AH127" s="3">
        <v>3155</v>
      </c>
      <c r="AI127" s="3">
        <v>2611</v>
      </c>
      <c r="AJ127" s="3">
        <v>1761</v>
      </c>
      <c r="AK127" s="3">
        <v>1209</v>
      </c>
      <c r="AL127" s="3">
        <v>897</v>
      </c>
      <c r="AM127" s="3">
        <v>675</v>
      </c>
      <c r="AN127" s="3">
        <v>473</v>
      </c>
      <c r="AO127" s="3">
        <v>292</v>
      </c>
      <c r="AP127" s="3">
        <v>145</v>
      </c>
      <c r="AQ127" s="3">
        <v>89</v>
      </c>
      <c r="AR127" s="3">
        <v>52222</v>
      </c>
      <c r="AS127" s="3">
        <v>7269</v>
      </c>
      <c r="AT127" s="3">
        <v>6562</v>
      </c>
      <c r="AU127" s="3">
        <v>6902</v>
      </c>
      <c r="AV127" s="3">
        <v>6536</v>
      </c>
      <c r="AW127" s="3">
        <v>5324</v>
      </c>
      <c r="AX127" s="3">
        <v>4596</v>
      </c>
      <c r="AY127" s="3">
        <v>3695</v>
      </c>
      <c r="AZ127" s="3">
        <v>3027</v>
      </c>
      <c r="BA127" s="3">
        <v>2368</v>
      </c>
      <c r="BB127" s="3">
        <v>1723</v>
      </c>
      <c r="BC127" s="3">
        <v>1297</v>
      </c>
      <c r="BD127" s="3">
        <v>1041</v>
      </c>
      <c r="BE127" s="3">
        <v>732</v>
      </c>
      <c r="BF127" s="3">
        <v>457</v>
      </c>
      <c r="BG127" s="3">
        <v>338</v>
      </c>
      <c r="BH127" s="3">
        <v>199</v>
      </c>
      <c r="BI127" s="3">
        <v>156</v>
      </c>
    </row>
    <row r="128" spans="1:61" x14ac:dyDescent="0.25">
      <c r="A128" s="12" t="s">
        <v>3</v>
      </c>
      <c r="B128" s="12" t="s">
        <v>291</v>
      </c>
      <c r="C128" s="2" t="s">
        <v>114</v>
      </c>
      <c r="D128" s="2" t="s">
        <v>313</v>
      </c>
      <c r="E128" s="2" t="s">
        <v>134</v>
      </c>
      <c r="F128" s="2" t="s">
        <v>134</v>
      </c>
      <c r="G128" s="2">
        <v>2020</v>
      </c>
      <c r="H128" s="3">
        <v>170804</v>
      </c>
      <c r="I128" s="3">
        <v>25344</v>
      </c>
      <c r="J128" s="3">
        <v>22392</v>
      </c>
      <c r="K128" s="3">
        <v>21499</v>
      </c>
      <c r="L128" s="3">
        <v>19686</v>
      </c>
      <c r="M128" s="3">
        <v>16924</v>
      </c>
      <c r="N128" s="3">
        <v>13978</v>
      </c>
      <c r="O128" s="3">
        <v>11295</v>
      </c>
      <c r="P128" s="3">
        <v>9994</v>
      </c>
      <c r="Q128" s="3">
        <v>8510</v>
      </c>
      <c r="R128" s="3">
        <v>6462</v>
      </c>
      <c r="S128" s="3">
        <v>4735</v>
      </c>
      <c r="T128" s="3">
        <v>3684</v>
      </c>
      <c r="U128" s="3">
        <v>2690</v>
      </c>
      <c r="V128" s="3">
        <v>1573</v>
      </c>
      <c r="W128" s="3">
        <v>1058</v>
      </c>
      <c r="X128" s="3">
        <v>574</v>
      </c>
      <c r="Y128" s="3">
        <v>406</v>
      </c>
      <c r="Z128" s="3">
        <v>85741</v>
      </c>
      <c r="AA128" s="3">
        <v>12856</v>
      </c>
      <c r="AB128" s="3">
        <v>11082</v>
      </c>
      <c r="AC128" s="3">
        <v>10555</v>
      </c>
      <c r="AD128" s="3">
        <v>9730</v>
      </c>
      <c r="AE128" s="3">
        <v>8668</v>
      </c>
      <c r="AF128" s="3">
        <v>7151</v>
      </c>
      <c r="AG128" s="3">
        <v>5562</v>
      </c>
      <c r="AH128" s="3">
        <v>5105</v>
      </c>
      <c r="AI128" s="3">
        <v>4247</v>
      </c>
      <c r="AJ128" s="3">
        <v>3362</v>
      </c>
      <c r="AK128" s="3">
        <v>2480</v>
      </c>
      <c r="AL128" s="3">
        <v>1761</v>
      </c>
      <c r="AM128" s="3">
        <v>1389</v>
      </c>
      <c r="AN128" s="3">
        <v>849</v>
      </c>
      <c r="AO128" s="3">
        <v>526</v>
      </c>
      <c r="AP128" s="3">
        <v>257</v>
      </c>
      <c r="AQ128" s="3">
        <v>161</v>
      </c>
      <c r="AR128" s="3">
        <v>85063</v>
      </c>
      <c r="AS128" s="3">
        <v>12488</v>
      </c>
      <c r="AT128" s="3">
        <v>11310</v>
      </c>
      <c r="AU128" s="3">
        <v>10944</v>
      </c>
      <c r="AV128" s="3">
        <v>9956</v>
      </c>
      <c r="AW128" s="3">
        <v>8256</v>
      </c>
      <c r="AX128" s="3">
        <v>6827</v>
      </c>
      <c r="AY128" s="3">
        <v>5733</v>
      </c>
      <c r="AZ128" s="3">
        <v>4889</v>
      </c>
      <c r="BA128" s="3">
        <v>4263</v>
      </c>
      <c r="BB128" s="3">
        <v>3100</v>
      </c>
      <c r="BC128" s="3">
        <v>2255</v>
      </c>
      <c r="BD128" s="3">
        <v>1923</v>
      </c>
      <c r="BE128" s="3">
        <v>1301</v>
      </c>
      <c r="BF128" s="3">
        <v>724</v>
      </c>
      <c r="BG128" s="3">
        <v>532</v>
      </c>
      <c r="BH128" s="3">
        <v>317</v>
      </c>
      <c r="BI128" s="3">
        <v>245</v>
      </c>
    </row>
    <row r="129" spans="1:61" x14ac:dyDescent="0.25">
      <c r="A129" s="12" t="s">
        <v>3</v>
      </c>
      <c r="B129" s="12" t="s">
        <v>291</v>
      </c>
      <c r="C129" s="2" t="s">
        <v>138</v>
      </c>
      <c r="D129" s="2" t="s">
        <v>335</v>
      </c>
      <c r="E129" s="2" t="s">
        <v>154</v>
      </c>
      <c r="F129" s="2" t="s">
        <v>154</v>
      </c>
      <c r="G129" s="2">
        <v>2020</v>
      </c>
      <c r="H129" s="3">
        <v>99939</v>
      </c>
      <c r="I129" s="3">
        <v>18461</v>
      </c>
      <c r="J129" s="3">
        <v>16182</v>
      </c>
      <c r="K129" s="3">
        <v>13314</v>
      </c>
      <c r="L129" s="3">
        <v>10839</v>
      </c>
      <c r="M129" s="3">
        <v>8232</v>
      </c>
      <c r="N129" s="3">
        <v>6606</v>
      </c>
      <c r="O129" s="3">
        <v>5325</v>
      </c>
      <c r="P129" s="3">
        <v>4773</v>
      </c>
      <c r="Q129" s="3">
        <v>4067</v>
      </c>
      <c r="R129" s="3">
        <v>3250</v>
      </c>
      <c r="S129" s="3">
        <v>2380</v>
      </c>
      <c r="T129" s="3">
        <v>1660</v>
      </c>
      <c r="U129" s="3">
        <v>1559</v>
      </c>
      <c r="V129" s="3">
        <v>1110</v>
      </c>
      <c r="W129" s="3">
        <v>981</v>
      </c>
      <c r="X129" s="3">
        <v>623</v>
      </c>
      <c r="Y129" s="3">
        <v>577</v>
      </c>
      <c r="Z129" s="3">
        <v>49895</v>
      </c>
      <c r="AA129" s="3">
        <v>9361</v>
      </c>
      <c r="AB129" s="3">
        <v>8233</v>
      </c>
      <c r="AC129" s="3">
        <v>6972</v>
      </c>
      <c r="AD129" s="3">
        <v>5743</v>
      </c>
      <c r="AE129" s="3">
        <v>4138</v>
      </c>
      <c r="AF129" s="3">
        <v>3243</v>
      </c>
      <c r="AG129" s="3">
        <v>2559</v>
      </c>
      <c r="AH129" s="3">
        <v>2299</v>
      </c>
      <c r="AI129" s="3">
        <v>2006</v>
      </c>
      <c r="AJ129" s="3">
        <v>1582</v>
      </c>
      <c r="AK129" s="3">
        <v>1184</v>
      </c>
      <c r="AL129" s="3">
        <v>730</v>
      </c>
      <c r="AM129" s="3">
        <v>612</v>
      </c>
      <c r="AN129" s="3">
        <v>427</v>
      </c>
      <c r="AO129" s="3">
        <v>381</v>
      </c>
      <c r="AP129" s="3">
        <v>227</v>
      </c>
      <c r="AQ129" s="3">
        <v>198</v>
      </c>
      <c r="AR129" s="3">
        <v>50044</v>
      </c>
      <c r="AS129" s="3">
        <v>9100</v>
      </c>
      <c r="AT129" s="3">
        <v>7949</v>
      </c>
      <c r="AU129" s="3">
        <v>6342</v>
      </c>
      <c r="AV129" s="3">
        <v>5096</v>
      </c>
      <c r="AW129" s="3">
        <v>4094</v>
      </c>
      <c r="AX129" s="3">
        <v>3363</v>
      </c>
      <c r="AY129" s="3">
        <v>2766</v>
      </c>
      <c r="AZ129" s="3">
        <v>2474</v>
      </c>
      <c r="BA129" s="3">
        <v>2061</v>
      </c>
      <c r="BB129" s="3">
        <v>1668</v>
      </c>
      <c r="BC129" s="3">
        <v>1196</v>
      </c>
      <c r="BD129" s="3">
        <v>930</v>
      </c>
      <c r="BE129" s="3">
        <v>947</v>
      </c>
      <c r="BF129" s="3">
        <v>683</v>
      </c>
      <c r="BG129" s="3">
        <v>600</v>
      </c>
      <c r="BH129" s="3">
        <v>396</v>
      </c>
      <c r="BI129" s="3">
        <v>379</v>
      </c>
    </row>
    <row r="130" spans="1:61" x14ac:dyDescent="0.25">
      <c r="A130" s="12" t="s">
        <v>3</v>
      </c>
      <c r="B130" s="12" t="s">
        <v>291</v>
      </c>
      <c r="C130" s="2" t="s">
        <v>138</v>
      </c>
      <c r="D130" s="2" t="s">
        <v>335</v>
      </c>
      <c r="E130" s="2" t="s">
        <v>155</v>
      </c>
      <c r="F130" s="2" t="s">
        <v>156</v>
      </c>
      <c r="G130" s="2">
        <v>2020</v>
      </c>
      <c r="H130" s="3">
        <v>148750</v>
      </c>
      <c r="I130" s="3">
        <v>28383</v>
      </c>
      <c r="J130" s="3">
        <v>24342</v>
      </c>
      <c r="K130" s="3">
        <v>19640</v>
      </c>
      <c r="L130" s="3">
        <v>15258</v>
      </c>
      <c r="M130" s="3">
        <v>12660</v>
      </c>
      <c r="N130" s="3">
        <v>10499</v>
      </c>
      <c r="O130" s="3">
        <v>8000</v>
      </c>
      <c r="P130" s="3">
        <v>6885</v>
      </c>
      <c r="Q130" s="3">
        <v>5979</v>
      </c>
      <c r="R130" s="3">
        <v>4449</v>
      </c>
      <c r="S130" s="3">
        <v>3368</v>
      </c>
      <c r="T130" s="3">
        <v>2427</v>
      </c>
      <c r="U130" s="3">
        <v>2205</v>
      </c>
      <c r="V130" s="3">
        <v>1606</v>
      </c>
      <c r="W130" s="3">
        <v>1321</v>
      </c>
      <c r="X130" s="3">
        <v>873</v>
      </c>
      <c r="Y130" s="3">
        <v>855</v>
      </c>
      <c r="Z130" s="3">
        <v>73892</v>
      </c>
      <c r="AA130" s="3">
        <v>14377</v>
      </c>
      <c r="AB130" s="3">
        <v>12337</v>
      </c>
      <c r="AC130" s="3">
        <v>10281</v>
      </c>
      <c r="AD130" s="3">
        <v>7809</v>
      </c>
      <c r="AE130" s="3">
        <v>6397</v>
      </c>
      <c r="AF130" s="3">
        <v>5234</v>
      </c>
      <c r="AG130" s="3">
        <v>3912</v>
      </c>
      <c r="AH130" s="3">
        <v>3296</v>
      </c>
      <c r="AI130" s="3">
        <v>2831</v>
      </c>
      <c r="AJ130" s="3">
        <v>2254</v>
      </c>
      <c r="AK130" s="3">
        <v>1570</v>
      </c>
      <c r="AL130" s="3">
        <v>1106</v>
      </c>
      <c r="AM130" s="3">
        <v>815</v>
      </c>
      <c r="AN130" s="3">
        <v>639</v>
      </c>
      <c r="AO130" s="3">
        <v>473</v>
      </c>
      <c r="AP130" s="3">
        <v>311</v>
      </c>
      <c r="AQ130" s="3">
        <v>250</v>
      </c>
      <c r="AR130" s="3">
        <v>74858</v>
      </c>
      <c r="AS130" s="3">
        <v>14006</v>
      </c>
      <c r="AT130" s="3">
        <v>12005</v>
      </c>
      <c r="AU130" s="3">
        <v>9359</v>
      </c>
      <c r="AV130" s="3">
        <v>7449</v>
      </c>
      <c r="AW130" s="3">
        <v>6263</v>
      </c>
      <c r="AX130" s="3">
        <v>5265</v>
      </c>
      <c r="AY130" s="3">
        <v>4088</v>
      </c>
      <c r="AZ130" s="3">
        <v>3589</v>
      </c>
      <c r="BA130" s="3">
        <v>3148</v>
      </c>
      <c r="BB130" s="3">
        <v>2195</v>
      </c>
      <c r="BC130" s="3">
        <v>1798</v>
      </c>
      <c r="BD130" s="3">
        <v>1321</v>
      </c>
      <c r="BE130" s="3">
        <v>1390</v>
      </c>
      <c r="BF130" s="3">
        <v>967</v>
      </c>
      <c r="BG130" s="3">
        <v>848</v>
      </c>
      <c r="BH130" s="3">
        <v>562</v>
      </c>
      <c r="BI130" s="3">
        <v>605</v>
      </c>
    </row>
    <row r="131" spans="1:61" x14ac:dyDescent="0.25">
      <c r="A131" s="12" t="s">
        <v>3</v>
      </c>
      <c r="B131" s="12" t="s">
        <v>291</v>
      </c>
      <c r="C131" s="2" t="s">
        <v>138</v>
      </c>
      <c r="D131" s="2" t="s">
        <v>335</v>
      </c>
      <c r="E131" s="2" t="s">
        <v>155</v>
      </c>
      <c r="F131" s="2" t="s">
        <v>155</v>
      </c>
      <c r="G131" s="2">
        <v>2020</v>
      </c>
      <c r="H131" s="3">
        <v>45206</v>
      </c>
      <c r="I131" s="3">
        <v>8600</v>
      </c>
      <c r="J131" s="3">
        <v>7413</v>
      </c>
      <c r="K131" s="3">
        <v>6169</v>
      </c>
      <c r="L131" s="3">
        <v>4567</v>
      </c>
      <c r="M131" s="3">
        <v>3712</v>
      </c>
      <c r="N131" s="3">
        <v>3034</v>
      </c>
      <c r="O131" s="3">
        <v>2441</v>
      </c>
      <c r="P131" s="3">
        <v>2184</v>
      </c>
      <c r="Q131" s="3">
        <v>1820</v>
      </c>
      <c r="R131" s="3">
        <v>1437</v>
      </c>
      <c r="S131" s="3">
        <v>1018</v>
      </c>
      <c r="T131" s="3">
        <v>804</v>
      </c>
      <c r="U131" s="3">
        <v>661</v>
      </c>
      <c r="V131" s="3">
        <v>470</v>
      </c>
      <c r="W131" s="3">
        <v>383</v>
      </c>
      <c r="X131" s="3">
        <v>251</v>
      </c>
      <c r="Y131" s="3">
        <v>242</v>
      </c>
      <c r="Z131" s="3">
        <v>22691</v>
      </c>
      <c r="AA131" s="3">
        <v>4223</v>
      </c>
      <c r="AB131" s="3">
        <v>3780</v>
      </c>
      <c r="AC131" s="3">
        <v>3226</v>
      </c>
      <c r="AD131" s="3">
        <v>2347</v>
      </c>
      <c r="AE131" s="3">
        <v>1907</v>
      </c>
      <c r="AF131" s="3">
        <v>1516</v>
      </c>
      <c r="AG131" s="3">
        <v>1217</v>
      </c>
      <c r="AH131" s="3">
        <v>1099</v>
      </c>
      <c r="AI131" s="3">
        <v>933</v>
      </c>
      <c r="AJ131" s="3">
        <v>740</v>
      </c>
      <c r="AK131" s="3">
        <v>500</v>
      </c>
      <c r="AL131" s="3">
        <v>365</v>
      </c>
      <c r="AM131" s="3">
        <v>261</v>
      </c>
      <c r="AN131" s="3">
        <v>221</v>
      </c>
      <c r="AO131" s="3">
        <v>163</v>
      </c>
      <c r="AP131" s="3">
        <v>107</v>
      </c>
      <c r="AQ131" s="3">
        <v>86</v>
      </c>
      <c r="AR131" s="3">
        <v>22515</v>
      </c>
      <c r="AS131" s="3">
        <v>4377</v>
      </c>
      <c r="AT131" s="3">
        <v>3633</v>
      </c>
      <c r="AU131" s="3">
        <v>2943</v>
      </c>
      <c r="AV131" s="3">
        <v>2220</v>
      </c>
      <c r="AW131" s="3">
        <v>1805</v>
      </c>
      <c r="AX131" s="3">
        <v>1518</v>
      </c>
      <c r="AY131" s="3">
        <v>1224</v>
      </c>
      <c r="AZ131" s="3">
        <v>1085</v>
      </c>
      <c r="BA131" s="3">
        <v>887</v>
      </c>
      <c r="BB131" s="3">
        <v>697</v>
      </c>
      <c r="BC131" s="3">
        <v>518</v>
      </c>
      <c r="BD131" s="3">
        <v>439</v>
      </c>
      <c r="BE131" s="3">
        <v>400</v>
      </c>
      <c r="BF131" s="3">
        <v>249</v>
      </c>
      <c r="BG131" s="3">
        <v>220</v>
      </c>
      <c r="BH131" s="3">
        <v>144</v>
      </c>
      <c r="BI131" s="3">
        <v>156</v>
      </c>
    </row>
    <row r="132" spans="1:61" x14ac:dyDescent="0.25">
      <c r="A132" s="12" t="s">
        <v>3</v>
      </c>
      <c r="B132" s="12" t="s">
        <v>291</v>
      </c>
      <c r="C132" s="2" t="s">
        <v>138</v>
      </c>
      <c r="D132" s="2" t="s">
        <v>335</v>
      </c>
      <c r="E132" s="2" t="s">
        <v>155</v>
      </c>
      <c r="F132" s="2" t="s">
        <v>157</v>
      </c>
      <c r="G132" s="2">
        <v>2020</v>
      </c>
      <c r="H132" s="3">
        <v>306448</v>
      </c>
      <c r="I132" s="3">
        <v>56072</v>
      </c>
      <c r="J132" s="3">
        <v>47629</v>
      </c>
      <c r="K132" s="3">
        <v>39931</v>
      </c>
      <c r="L132" s="3">
        <v>32329</v>
      </c>
      <c r="M132" s="3">
        <v>27016</v>
      </c>
      <c r="N132" s="3">
        <v>22590</v>
      </c>
      <c r="O132" s="3">
        <v>17751</v>
      </c>
      <c r="P132" s="3">
        <v>14917</v>
      </c>
      <c r="Q132" s="3">
        <v>12336</v>
      </c>
      <c r="R132" s="3">
        <v>9187</v>
      </c>
      <c r="S132" s="3">
        <v>6951</v>
      </c>
      <c r="T132" s="3">
        <v>5593</v>
      </c>
      <c r="U132" s="3">
        <v>4484</v>
      </c>
      <c r="V132" s="3">
        <v>3344</v>
      </c>
      <c r="W132" s="3">
        <v>2743</v>
      </c>
      <c r="X132" s="3">
        <v>1810</v>
      </c>
      <c r="Y132" s="3">
        <v>1765</v>
      </c>
      <c r="Z132" s="3">
        <v>152750</v>
      </c>
      <c r="AA132" s="3">
        <v>28535</v>
      </c>
      <c r="AB132" s="3">
        <v>24272</v>
      </c>
      <c r="AC132" s="3">
        <v>20378</v>
      </c>
      <c r="AD132" s="3">
        <v>16631</v>
      </c>
      <c r="AE132" s="3">
        <v>13483</v>
      </c>
      <c r="AF132" s="3">
        <v>11083</v>
      </c>
      <c r="AG132" s="3">
        <v>9059</v>
      </c>
      <c r="AH132" s="3">
        <v>7488</v>
      </c>
      <c r="AI132" s="3">
        <v>5909</v>
      </c>
      <c r="AJ132" s="3">
        <v>4662</v>
      </c>
      <c r="AK132" s="3">
        <v>3330</v>
      </c>
      <c r="AL132" s="3">
        <v>2384</v>
      </c>
      <c r="AM132" s="3">
        <v>1855</v>
      </c>
      <c r="AN132" s="3">
        <v>1405</v>
      </c>
      <c r="AO132" s="3">
        <v>1041</v>
      </c>
      <c r="AP132" s="3">
        <v>685</v>
      </c>
      <c r="AQ132" s="3">
        <v>550</v>
      </c>
      <c r="AR132" s="3">
        <v>153698</v>
      </c>
      <c r="AS132" s="3">
        <v>27537</v>
      </c>
      <c r="AT132" s="3">
        <v>23357</v>
      </c>
      <c r="AU132" s="3">
        <v>19553</v>
      </c>
      <c r="AV132" s="3">
        <v>15698</v>
      </c>
      <c r="AW132" s="3">
        <v>13533</v>
      </c>
      <c r="AX132" s="3">
        <v>11507</v>
      </c>
      <c r="AY132" s="3">
        <v>8692</v>
      </c>
      <c r="AZ132" s="3">
        <v>7429</v>
      </c>
      <c r="BA132" s="3">
        <v>6427</v>
      </c>
      <c r="BB132" s="3">
        <v>4525</v>
      </c>
      <c r="BC132" s="3">
        <v>3621</v>
      </c>
      <c r="BD132" s="3">
        <v>3209</v>
      </c>
      <c r="BE132" s="3">
        <v>2629</v>
      </c>
      <c r="BF132" s="3">
        <v>1939</v>
      </c>
      <c r="BG132" s="3">
        <v>1702</v>
      </c>
      <c r="BH132" s="3">
        <v>1125</v>
      </c>
      <c r="BI132" s="3">
        <v>1215</v>
      </c>
    </row>
    <row r="133" spans="1:61" x14ac:dyDescent="0.25">
      <c r="A133" s="12" t="s">
        <v>3</v>
      </c>
      <c r="B133" s="12" t="s">
        <v>291</v>
      </c>
      <c r="C133" s="2" t="s">
        <v>158</v>
      </c>
      <c r="D133" s="2" t="s">
        <v>363</v>
      </c>
      <c r="E133" s="2" t="s">
        <v>171</v>
      </c>
      <c r="F133" s="2" t="s">
        <v>172</v>
      </c>
      <c r="G133" s="2">
        <v>2020</v>
      </c>
      <c r="H133" s="3">
        <v>107408</v>
      </c>
      <c r="I133" s="3">
        <v>20362</v>
      </c>
      <c r="J133" s="3">
        <v>17363</v>
      </c>
      <c r="K133" s="3">
        <v>14189</v>
      </c>
      <c r="L133" s="3">
        <v>10957</v>
      </c>
      <c r="M133" s="3">
        <v>8310</v>
      </c>
      <c r="N133" s="3">
        <v>6944</v>
      </c>
      <c r="O133" s="3">
        <v>5968</v>
      </c>
      <c r="P133" s="3">
        <v>5552</v>
      </c>
      <c r="Q133" s="3">
        <v>5210</v>
      </c>
      <c r="R133" s="3">
        <v>3644</v>
      </c>
      <c r="S133" s="3">
        <v>2699</v>
      </c>
      <c r="T133" s="3">
        <v>1998</v>
      </c>
      <c r="U133" s="3">
        <v>1645</v>
      </c>
      <c r="V133" s="3">
        <v>1074</v>
      </c>
      <c r="W133" s="3">
        <v>784</v>
      </c>
      <c r="X133" s="3">
        <v>442</v>
      </c>
      <c r="Y133" s="3">
        <v>267</v>
      </c>
      <c r="Z133" s="3">
        <v>53207</v>
      </c>
      <c r="AA133" s="3">
        <v>10360</v>
      </c>
      <c r="AB133" s="3">
        <v>8782</v>
      </c>
      <c r="AC133" s="3">
        <v>7209</v>
      </c>
      <c r="AD133" s="3">
        <v>5468</v>
      </c>
      <c r="AE133" s="3">
        <v>3973</v>
      </c>
      <c r="AF133" s="3">
        <v>3251</v>
      </c>
      <c r="AG133" s="3">
        <v>2801</v>
      </c>
      <c r="AH133" s="3">
        <v>2601</v>
      </c>
      <c r="AI133" s="3">
        <v>2583</v>
      </c>
      <c r="AJ133" s="3">
        <v>1913</v>
      </c>
      <c r="AK133" s="3">
        <v>1385</v>
      </c>
      <c r="AL133" s="3">
        <v>942</v>
      </c>
      <c r="AM133" s="3">
        <v>726</v>
      </c>
      <c r="AN133" s="3">
        <v>495</v>
      </c>
      <c r="AO133" s="3">
        <v>382</v>
      </c>
      <c r="AP133" s="3">
        <v>217</v>
      </c>
      <c r="AQ133" s="3">
        <v>119</v>
      </c>
      <c r="AR133" s="3">
        <v>54201</v>
      </c>
      <c r="AS133" s="3">
        <v>10002</v>
      </c>
      <c r="AT133" s="3">
        <v>8581</v>
      </c>
      <c r="AU133" s="3">
        <v>6980</v>
      </c>
      <c r="AV133" s="3">
        <v>5489</v>
      </c>
      <c r="AW133" s="3">
        <v>4337</v>
      </c>
      <c r="AX133" s="3">
        <v>3693</v>
      </c>
      <c r="AY133" s="3">
        <v>3167</v>
      </c>
      <c r="AZ133" s="3">
        <v>2951</v>
      </c>
      <c r="BA133" s="3">
        <v>2627</v>
      </c>
      <c r="BB133" s="3">
        <v>1731</v>
      </c>
      <c r="BC133" s="3">
        <v>1314</v>
      </c>
      <c r="BD133" s="3">
        <v>1056</v>
      </c>
      <c r="BE133" s="3">
        <v>919</v>
      </c>
      <c r="BF133" s="3">
        <v>579</v>
      </c>
      <c r="BG133" s="3">
        <v>402</v>
      </c>
      <c r="BH133" s="3">
        <v>225</v>
      </c>
      <c r="BI133" s="3">
        <v>148</v>
      </c>
    </row>
    <row r="134" spans="1:61" x14ac:dyDescent="0.25">
      <c r="A134" s="12" t="s">
        <v>3</v>
      </c>
      <c r="B134" s="12" t="s">
        <v>291</v>
      </c>
      <c r="C134" s="2" t="s">
        <v>158</v>
      </c>
      <c r="D134" s="2" t="s">
        <v>363</v>
      </c>
      <c r="E134" s="2" t="s">
        <v>171</v>
      </c>
      <c r="F134" s="2" t="s">
        <v>173</v>
      </c>
      <c r="G134" s="2">
        <v>2020</v>
      </c>
      <c r="H134" s="3">
        <v>98645</v>
      </c>
      <c r="I134" s="3">
        <v>19547</v>
      </c>
      <c r="J134" s="3">
        <v>16849</v>
      </c>
      <c r="K134" s="3">
        <v>12754</v>
      </c>
      <c r="L134" s="3">
        <v>9431</v>
      </c>
      <c r="M134" s="3">
        <v>7174</v>
      </c>
      <c r="N134" s="3">
        <v>6030</v>
      </c>
      <c r="O134" s="3">
        <v>5208</v>
      </c>
      <c r="P134" s="3">
        <v>4676</v>
      </c>
      <c r="Q134" s="3">
        <v>4425</v>
      </c>
      <c r="R134" s="3">
        <v>3205</v>
      </c>
      <c r="S134" s="3">
        <v>2427</v>
      </c>
      <c r="T134" s="3">
        <v>1881</v>
      </c>
      <c r="U134" s="3">
        <v>1775</v>
      </c>
      <c r="V134" s="3">
        <v>1356</v>
      </c>
      <c r="W134" s="3">
        <v>997</v>
      </c>
      <c r="X134" s="3">
        <v>566</v>
      </c>
      <c r="Y134" s="3">
        <v>344</v>
      </c>
      <c r="Z134" s="3">
        <v>48869</v>
      </c>
      <c r="AA134" s="3">
        <v>9984</v>
      </c>
      <c r="AB134" s="3">
        <v>8541</v>
      </c>
      <c r="AC134" s="3">
        <v>6587</v>
      </c>
      <c r="AD134" s="3">
        <v>4840</v>
      </c>
      <c r="AE134" s="3">
        <v>3378</v>
      </c>
      <c r="AF134" s="3">
        <v>2795</v>
      </c>
      <c r="AG134" s="3">
        <v>2451</v>
      </c>
      <c r="AH134" s="3">
        <v>2240</v>
      </c>
      <c r="AI134" s="3">
        <v>2239</v>
      </c>
      <c r="AJ134" s="3">
        <v>1594</v>
      </c>
      <c r="AK134" s="3">
        <v>1192</v>
      </c>
      <c r="AL134" s="3">
        <v>857</v>
      </c>
      <c r="AM134" s="3">
        <v>761</v>
      </c>
      <c r="AN134" s="3">
        <v>576</v>
      </c>
      <c r="AO134" s="3">
        <v>444</v>
      </c>
      <c r="AP134" s="3">
        <v>251</v>
      </c>
      <c r="AQ134" s="3">
        <v>139</v>
      </c>
      <c r="AR134" s="3">
        <v>49776</v>
      </c>
      <c r="AS134" s="3">
        <v>9563</v>
      </c>
      <c r="AT134" s="3">
        <v>8308</v>
      </c>
      <c r="AU134" s="3">
        <v>6167</v>
      </c>
      <c r="AV134" s="3">
        <v>4591</v>
      </c>
      <c r="AW134" s="3">
        <v>3796</v>
      </c>
      <c r="AX134" s="3">
        <v>3235</v>
      </c>
      <c r="AY134" s="3">
        <v>2757</v>
      </c>
      <c r="AZ134" s="3">
        <v>2436</v>
      </c>
      <c r="BA134" s="3">
        <v>2186</v>
      </c>
      <c r="BB134" s="3">
        <v>1611</v>
      </c>
      <c r="BC134" s="3">
        <v>1235</v>
      </c>
      <c r="BD134" s="3">
        <v>1024</v>
      </c>
      <c r="BE134" s="3">
        <v>1014</v>
      </c>
      <c r="BF134" s="3">
        <v>780</v>
      </c>
      <c r="BG134" s="3">
        <v>553</v>
      </c>
      <c r="BH134" s="3">
        <v>315</v>
      </c>
      <c r="BI134" s="3">
        <v>205</v>
      </c>
    </row>
    <row r="135" spans="1:61" x14ac:dyDescent="0.25">
      <c r="A135" s="12" t="s">
        <v>3</v>
      </c>
      <c r="B135" s="12" t="s">
        <v>291</v>
      </c>
      <c r="C135" s="2" t="s">
        <v>158</v>
      </c>
      <c r="D135" s="2" t="s">
        <v>363</v>
      </c>
      <c r="E135" s="2" t="s">
        <v>171</v>
      </c>
      <c r="F135" s="2" t="s">
        <v>158</v>
      </c>
      <c r="G135" s="2">
        <v>2020</v>
      </c>
      <c r="H135" s="3">
        <v>29370</v>
      </c>
      <c r="I135" s="3">
        <v>5591</v>
      </c>
      <c r="J135" s="3">
        <v>4809</v>
      </c>
      <c r="K135" s="3">
        <v>3683</v>
      </c>
      <c r="L135" s="3">
        <v>2812</v>
      </c>
      <c r="M135" s="3">
        <v>2214</v>
      </c>
      <c r="N135" s="3">
        <v>2106</v>
      </c>
      <c r="O135" s="3">
        <v>1741</v>
      </c>
      <c r="P135" s="3">
        <v>1635</v>
      </c>
      <c r="Q135" s="3">
        <v>1551</v>
      </c>
      <c r="R135" s="3">
        <v>977</v>
      </c>
      <c r="S135" s="3">
        <v>712</v>
      </c>
      <c r="T135" s="3">
        <v>477</v>
      </c>
      <c r="U135" s="3">
        <v>391</v>
      </c>
      <c r="V135" s="3">
        <v>281</v>
      </c>
      <c r="W135" s="3">
        <v>205</v>
      </c>
      <c r="X135" s="3">
        <v>116</v>
      </c>
      <c r="Y135" s="3">
        <v>69</v>
      </c>
      <c r="Z135" s="3">
        <v>14497</v>
      </c>
      <c r="AA135" s="3">
        <v>2756</v>
      </c>
      <c r="AB135" s="3">
        <v>2428</v>
      </c>
      <c r="AC135" s="3">
        <v>1897</v>
      </c>
      <c r="AD135" s="3">
        <v>1357</v>
      </c>
      <c r="AE135" s="3">
        <v>1040</v>
      </c>
      <c r="AF135" s="3">
        <v>1036</v>
      </c>
      <c r="AG135" s="3">
        <v>841</v>
      </c>
      <c r="AH135" s="3">
        <v>758</v>
      </c>
      <c r="AI135" s="3">
        <v>756</v>
      </c>
      <c r="AJ135" s="3">
        <v>529</v>
      </c>
      <c r="AK135" s="3">
        <v>384</v>
      </c>
      <c r="AL135" s="3">
        <v>222</v>
      </c>
      <c r="AM135" s="3">
        <v>186</v>
      </c>
      <c r="AN135" s="3">
        <v>126</v>
      </c>
      <c r="AO135" s="3">
        <v>97</v>
      </c>
      <c r="AP135" s="3">
        <v>54</v>
      </c>
      <c r="AQ135" s="3">
        <v>30</v>
      </c>
      <c r="AR135" s="3">
        <v>14873</v>
      </c>
      <c r="AS135" s="3">
        <v>2835</v>
      </c>
      <c r="AT135" s="3">
        <v>2381</v>
      </c>
      <c r="AU135" s="3">
        <v>1786</v>
      </c>
      <c r="AV135" s="3">
        <v>1455</v>
      </c>
      <c r="AW135" s="3">
        <v>1174</v>
      </c>
      <c r="AX135" s="3">
        <v>1070</v>
      </c>
      <c r="AY135" s="3">
        <v>900</v>
      </c>
      <c r="AZ135" s="3">
        <v>877</v>
      </c>
      <c r="BA135" s="3">
        <v>795</v>
      </c>
      <c r="BB135" s="3">
        <v>448</v>
      </c>
      <c r="BC135" s="3">
        <v>328</v>
      </c>
      <c r="BD135" s="3">
        <v>255</v>
      </c>
      <c r="BE135" s="3">
        <v>205</v>
      </c>
      <c r="BF135" s="3">
        <v>155</v>
      </c>
      <c r="BG135" s="3">
        <v>108</v>
      </c>
      <c r="BH135" s="3">
        <v>62</v>
      </c>
      <c r="BI135" s="3">
        <v>39</v>
      </c>
    </row>
    <row r="136" spans="1:61" x14ac:dyDescent="0.25">
      <c r="A136" s="12" t="s">
        <v>3</v>
      </c>
      <c r="B136" s="12" t="s">
        <v>291</v>
      </c>
      <c r="C136" s="2" t="s">
        <v>253</v>
      </c>
      <c r="D136" s="2" t="s">
        <v>498</v>
      </c>
      <c r="E136" s="2" t="s">
        <v>267</v>
      </c>
      <c r="F136" s="2" t="s">
        <v>268</v>
      </c>
      <c r="G136" s="2">
        <v>2020</v>
      </c>
      <c r="H136" s="3">
        <v>61782</v>
      </c>
      <c r="I136" s="3">
        <v>11766</v>
      </c>
      <c r="J136" s="3">
        <v>9673</v>
      </c>
      <c r="K136" s="3">
        <v>7845</v>
      </c>
      <c r="L136" s="3">
        <v>6084</v>
      </c>
      <c r="M136" s="3">
        <v>5139</v>
      </c>
      <c r="N136" s="3">
        <v>4127</v>
      </c>
      <c r="O136" s="3">
        <v>3433</v>
      </c>
      <c r="P136" s="3">
        <v>2935</v>
      </c>
      <c r="Q136" s="3">
        <v>2577</v>
      </c>
      <c r="R136" s="3">
        <v>1960</v>
      </c>
      <c r="S136" s="3">
        <v>1603</v>
      </c>
      <c r="T136" s="3">
        <v>1225</v>
      </c>
      <c r="U136" s="3">
        <v>1101</v>
      </c>
      <c r="V136" s="3">
        <v>755</v>
      </c>
      <c r="W136" s="3">
        <v>654</v>
      </c>
      <c r="X136" s="3">
        <v>440</v>
      </c>
      <c r="Y136" s="3">
        <v>465</v>
      </c>
      <c r="Z136" s="3">
        <v>29804</v>
      </c>
      <c r="AA136" s="3">
        <v>5946</v>
      </c>
      <c r="AB136" s="3">
        <v>4927</v>
      </c>
      <c r="AC136" s="3">
        <v>4060</v>
      </c>
      <c r="AD136" s="3">
        <v>3075</v>
      </c>
      <c r="AE136" s="3">
        <v>2512</v>
      </c>
      <c r="AF136" s="3">
        <v>1934</v>
      </c>
      <c r="AG136" s="3">
        <v>1592</v>
      </c>
      <c r="AH136" s="3">
        <v>1308</v>
      </c>
      <c r="AI136" s="3">
        <v>1178</v>
      </c>
      <c r="AJ136" s="3">
        <v>849</v>
      </c>
      <c r="AK136" s="3">
        <v>672</v>
      </c>
      <c r="AL136" s="3">
        <v>463</v>
      </c>
      <c r="AM136" s="3">
        <v>364</v>
      </c>
      <c r="AN136" s="3">
        <v>311</v>
      </c>
      <c r="AO136" s="3">
        <v>272</v>
      </c>
      <c r="AP136" s="3">
        <v>179</v>
      </c>
      <c r="AQ136" s="3">
        <v>162</v>
      </c>
      <c r="AR136" s="3">
        <v>31978</v>
      </c>
      <c r="AS136" s="3">
        <v>5820</v>
      </c>
      <c r="AT136" s="3">
        <v>4746</v>
      </c>
      <c r="AU136" s="3">
        <v>3785</v>
      </c>
      <c r="AV136" s="3">
        <v>3009</v>
      </c>
      <c r="AW136" s="3">
        <v>2627</v>
      </c>
      <c r="AX136" s="3">
        <v>2193</v>
      </c>
      <c r="AY136" s="3">
        <v>1841</v>
      </c>
      <c r="AZ136" s="3">
        <v>1627</v>
      </c>
      <c r="BA136" s="3">
        <v>1399</v>
      </c>
      <c r="BB136" s="3">
        <v>1111</v>
      </c>
      <c r="BC136" s="3">
        <v>931</v>
      </c>
      <c r="BD136" s="3">
        <v>762</v>
      </c>
      <c r="BE136" s="3">
        <v>737</v>
      </c>
      <c r="BF136" s="3">
        <v>444</v>
      </c>
      <c r="BG136" s="3">
        <v>382</v>
      </c>
      <c r="BH136" s="3">
        <v>261</v>
      </c>
      <c r="BI136" s="3">
        <v>303</v>
      </c>
    </row>
    <row r="137" spans="1:61" x14ac:dyDescent="0.25">
      <c r="A137" s="12" t="s">
        <v>3</v>
      </c>
      <c r="B137" s="12" t="s">
        <v>291</v>
      </c>
      <c r="C137" s="2" t="s">
        <v>253</v>
      </c>
      <c r="D137" s="2" t="s">
        <v>498</v>
      </c>
      <c r="E137" s="2" t="s">
        <v>267</v>
      </c>
      <c r="F137" s="2" t="s">
        <v>267</v>
      </c>
      <c r="G137" s="2">
        <v>2020</v>
      </c>
      <c r="H137" s="3">
        <v>81180</v>
      </c>
      <c r="I137" s="3">
        <v>15317</v>
      </c>
      <c r="J137" s="3">
        <v>12682</v>
      </c>
      <c r="K137" s="3">
        <v>10159</v>
      </c>
      <c r="L137" s="3">
        <v>8433</v>
      </c>
      <c r="M137" s="3">
        <v>7107</v>
      </c>
      <c r="N137" s="3">
        <v>5657</v>
      </c>
      <c r="O137" s="3">
        <v>4673</v>
      </c>
      <c r="P137" s="3">
        <v>3744</v>
      </c>
      <c r="Q137" s="3">
        <v>3497</v>
      </c>
      <c r="R137" s="3">
        <v>2500</v>
      </c>
      <c r="S137" s="3">
        <v>1901</v>
      </c>
      <c r="T137" s="3">
        <v>1537</v>
      </c>
      <c r="U137" s="3">
        <v>1328</v>
      </c>
      <c r="V137" s="3">
        <v>866</v>
      </c>
      <c r="W137" s="3">
        <v>749</v>
      </c>
      <c r="X137" s="3">
        <v>499</v>
      </c>
      <c r="Y137" s="3">
        <v>531</v>
      </c>
      <c r="Z137" s="3">
        <v>39176</v>
      </c>
      <c r="AA137" s="3">
        <v>7731</v>
      </c>
      <c r="AB137" s="3">
        <v>6447</v>
      </c>
      <c r="AC137" s="3">
        <v>5089</v>
      </c>
      <c r="AD137" s="3">
        <v>4085</v>
      </c>
      <c r="AE137" s="3">
        <v>3438</v>
      </c>
      <c r="AF137" s="3">
        <v>2710</v>
      </c>
      <c r="AG137" s="3">
        <v>2186</v>
      </c>
      <c r="AH137" s="3">
        <v>1683</v>
      </c>
      <c r="AI137" s="3">
        <v>1545</v>
      </c>
      <c r="AJ137" s="3">
        <v>1167</v>
      </c>
      <c r="AK137" s="3">
        <v>869</v>
      </c>
      <c r="AL137" s="3">
        <v>597</v>
      </c>
      <c r="AM137" s="3">
        <v>512</v>
      </c>
      <c r="AN137" s="3">
        <v>377</v>
      </c>
      <c r="AO137" s="3">
        <v>330</v>
      </c>
      <c r="AP137" s="3">
        <v>214</v>
      </c>
      <c r="AQ137" s="3">
        <v>196</v>
      </c>
      <c r="AR137" s="3">
        <v>42004</v>
      </c>
      <c r="AS137" s="3">
        <v>7586</v>
      </c>
      <c r="AT137" s="3">
        <v>6235</v>
      </c>
      <c r="AU137" s="3">
        <v>5070</v>
      </c>
      <c r="AV137" s="3">
        <v>4348</v>
      </c>
      <c r="AW137" s="3">
        <v>3669</v>
      </c>
      <c r="AX137" s="3">
        <v>2947</v>
      </c>
      <c r="AY137" s="3">
        <v>2487</v>
      </c>
      <c r="AZ137" s="3">
        <v>2061</v>
      </c>
      <c r="BA137" s="3">
        <v>1952</v>
      </c>
      <c r="BB137" s="3">
        <v>1333</v>
      </c>
      <c r="BC137" s="3">
        <v>1032</v>
      </c>
      <c r="BD137" s="3">
        <v>940</v>
      </c>
      <c r="BE137" s="3">
        <v>816</v>
      </c>
      <c r="BF137" s="3">
        <v>489</v>
      </c>
      <c r="BG137" s="3">
        <v>419</v>
      </c>
      <c r="BH137" s="3">
        <v>285</v>
      </c>
      <c r="BI137" s="3">
        <v>335</v>
      </c>
    </row>
    <row r="138" spans="1:61" x14ac:dyDescent="0.25">
      <c r="A138" s="12" t="s">
        <v>3</v>
      </c>
      <c r="B138" s="12" t="s">
        <v>291</v>
      </c>
      <c r="C138" s="2" t="s">
        <v>96</v>
      </c>
      <c r="D138" s="2" t="s">
        <v>290</v>
      </c>
      <c r="E138" s="2" t="s">
        <v>111</v>
      </c>
      <c r="F138" s="2" t="s">
        <v>112</v>
      </c>
      <c r="G138" s="2">
        <v>2020</v>
      </c>
      <c r="H138" s="3">
        <v>56996</v>
      </c>
      <c r="I138" s="3">
        <v>11209</v>
      </c>
      <c r="J138" s="3">
        <v>9678</v>
      </c>
      <c r="K138" s="3">
        <v>7519</v>
      </c>
      <c r="L138" s="3">
        <v>5739</v>
      </c>
      <c r="M138" s="3">
        <v>4272</v>
      </c>
      <c r="N138" s="3">
        <v>3712</v>
      </c>
      <c r="O138" s="3">
        <v>3111</v>
      </c>
      <c r="P138" s="3">
        <v>2811</v>
      </c>
      <c r="Q138" s="3">
        <v>2275</v>
      </c>
      <c r="R138" s="3">
        <v>1886</v>
      </c>
      <c r="S138" s="3">
        <v>1366</v>
      </c>
      <c r="T138" s="3">
        <v>1032</v>
      </c>
      <c r="U138" s="3">
        <v>895</v>
      </c>
      <c r="V138" s="3">
        <v>559</v>
      </c>
      <c r="W138" s="3">
        <v>452</v>
      </c>
      <c r="X138" s="3">
        <v>307</v>
      </c>
      <c r="Y138" s="3">
        <v>173</v>
      </c>
      <c r="Z138" s="3">
        <v>28361</v>
      </c>
      <c r="AA138" s="3">
        <v>5613</v>
      </c>
      <c r="AB138" s="3">
        <v>4897</v>
      </c>
      <c r="AC138" s="3">
        <v>3889</v>
      </c>
      <c r="AD138" s="3">
        <v>2923</v>
      </c>
      <c r="AE138" s="3">
        <v>2044</v>
      </c>
      <c r="AF138" s="3">
        <v>1730</v>
      </c>
      <c r="AG138" s="3">
        <v>1534</v>
      </c>
      <c r="AH138" s="3">
        <v>1353</v>
      </c>
      <c r="AI138" s="3">
        <v>1171</v>
      </c>
      <c r="AJ138" s="3">
        <v>938</v>
      </c>
      <c r="AK138" s="3">
        <v>701</v>
      </c>
      <c r="AL138" s="3">
        <v>469</v>
      </c>
      <c r="AM138" s="3">
        <v>391</v>
      </c>
      <c r="AN138" s="3">
        <v>266</v>
      </c>
      <c r="AO138" s="3">
        <v>211</v>
      </c>
      <c r="AP138" s="3">
        <v>147</v>
      </c>
      <c r="AQ138" s="3">
        <v>84</v>
      </c>
      <c r="AR138" s="3">
        <v>28635</v>
      </c>
      <c r="AS138" s="3">
        <v>5596</v>
      </c>
      <c r="AT138" s="3">
        <v>4781</v>
      </c>
      <c r="AU138" s="3">
        <v>3630</v>
      </c>
      <c r="AV138" s="3">
        <v>2816</v>
      </c>
      <c r="AW138" s="3">
        <v>2228</v>
      </c>
      <c r="AX138" s="3">
        <v>1982</v>
      </c>
      <c r="AY138" s="3">
        <v>1577</v>
      </c>
      <c r="AZ138" s="3">
        <v>1458</v>
      </c>
      <c r="BA138" s="3">
        <v>1104</v>
      </c>
      <c r="BB138" s="3">
        <v>948</v>
      </c>
      <c r="BC138" s="3">
        <v>665</v>
      </c>
      <c r="BD138" s="3">
        <v>563</v>
      </c>
      <c r="BE138" s="3">
        <v>504</v>
      </c>
      <c r="BF138" s="3">
        <v>293</v>
      </c>
      <c r="BG138" s="3">
        <v>241</v>
      </c>
      <c r="BH138" s="3">
        <v>160</v>
      </c>
      <c r="BI138" s="3">
        <v>89</v>
      </c>
    </row>
    <row r="139" spans="1:61" x14ac:dyDescent="0.25">
      <c r="A139" s="12" t="s">
        <v>3</v>
      </c>
      <c r="B139" s="12" t="s">
        <v>291</v>
      </c>
      <c r="C139" s="2" t="s">
        <v>96</v>
      </c>
      <c r="D139" s="2" t="s">
        <v>290</v>
      </c>
      <c r="E139" s="2" t="s">
        <v>111</v>
      </c>
      <c r="F139" s="2" t="s">
        <v>113</v>
      </c>
      <c r="G139" s="2">
        <v>2020</v>
      </c>
      <c r="H139" s="3">
        <v>62514</v>
      </c>
      <c r="I139" s="3">
        <v>12330</v>
      </c>
      <c r="J139" s="3">
        <v>10502</v>
      </c>
      <c r="K139" s="3">
        <v>8483</v>
      </c>
      <c r="L139" s="3">
        <v>6402</v>
      </c>
      <c r="M139" s="3">
        <v>4991</v>
      </c>
      <c r="N139" s="3">
        <v>4057</v>
      </c>
      <c r="O139" s="3">
        <v>3307</v>
      </c>
      <c r="P139" s="3">
        <v>2985</v>
      </c>
      <c r="Q139" s="3">
        <v>2580</v>
      </c>
      <c r="R139" s="3">
        <v>1935</v>
      </c>
      <c r="S139" s="3">
        <v>1372</v>
      </c>
      <c r="T139" s="3">
        <v>1055</v>
      </c>
      <c r="U139" s="3">
        <v>932</v>
      </c>
      <c r="V139" s="3">
        <v>591</v>
      </c>
      <c r="W139" s="3">
        <v>482</v>
      </c>
      <c r="X139" s="3">
        <v>326</v>
      </c>
      <c r="Y139" s="3">
        <v>184</v>
      </c>
      <c r="Z139" s="3">
        <v>31300</v>
      </c>
      <c r="AA139" s="3">
        <v>6158</v>
      </c>
      <c r="AB139" s="3">
        <v>5265</v>
      </c>
      <c r="AC139" s="3">
        <v>4442</v>
      </c>
      <c r="AD139" s="3">
        <v>3158</v>
      </c>
      <c r="AE139" s="3">
        <v>2497</v>
      </c>
      <c r="AF139" s="3">
        <v>2030</v>
      </c>
      <c r="AG139" s="3">
        <v>1659</v>
      </c>
      <c r="AH139" s="3">
        <v>1408</v>
      </c>
      <c r="AI139" s="3">
        <v>1314</v>
      </c>
      <c r="AJ139" s="3">
        <v>1029</v>
      </c>
      <c r="AK139" s="3">
        <v>690</v>
      </c>
      <c r="AL139" s="3">
        <v>499</v>
      </c>
      <c r="AM139" s="3">
        <v>412</v>
      </c>
      <c r="AN139" s="3">
        <v>276</v>
      </c>
      <c r="AO139" s="3">
        <v>221</v>
      </c>
      <c r="AP139" s="3">
        <v>154</v>
      </c>
      <c r="AQ139" s="3">
        <v>88</v>
      </c>
      <c r="AR139" s="3">
        <v>31214</v>
      </c>
      <c r="AS139" s="3">
        <v>6172</v>
      </c>
      <c r="AT139" s="3">
        <v>5237</v>
      </c>
      <c r="AU139" s="3">
        <v>4041</v>
      </c>
      <c r="AV139" s="3">
        <v>3244</v>
      </c>
      <c r="AW139" s="3">
        <v>2494</v>
      </c>
      <c r="AX139" s="3">
        <v>2027</v>
      </c>
      <c r="AY139" s="3">
        <v>1648</v>
      </c>
      <c r="AZ139" s="3">
        <v>1577</v>
      </c>
      <c r="BA139" s="3">
        <v>1266</v>
      </c>
      <c r="BB139" s="3">
        <v>906</v>
      </c>
      <c r="BC139" s="3">
        <v>682</v>
      </c>
      <c r="BD139" s="3">
        <v>556</v>
      </c>
      <c r="BE139" s="3">
        <v>520</v>
      </c>
      <c r="BF139" s="3">
        <v>315</v>
      </c>
      <c r="BG139" s="3">
        <v>261</v>
      </c>
      <c r="BH139" s="3">
        <v>172</v>
      </c>
      <c r="BI139" s="3">
        <v>96</v>
      </c>
    </row>
    <row r="140" spans="1:61" x14ac:dyDescent="0.25">
      <c r="A140" s="12" t="s">
        <v>3</v>
      </c>
      <c r="B140" s="12" t="s">
        <v>291</v>
      </c>
      <c r="C140" s="2" t="s">
        <v>96</v>
      </c>
      <c r="D140" s="2" t="s">
        <v>290</v>
      </c>
      <c r="E140" s="2" t="s">
        <v>111</v>
      </c>
      <c r="F140" s="2" t="s">
        <v>111</v>
      </c>
      <c r="G140" s="2">
        <v>2020</v>
      </c>
      <c r="H140" s="3">
        <v>84730</v>
      </c>
      <c r="I140" s="3">
        <v>15624</v>
      </c>
      <c r="J140" s="3">
        <v>13514</v>
      </c>
      <c r="K140" s="3">
        <v>11233</v>
      </c>
      <c r="L140" s="3">
        <v>9551</v>
      </c>
      <c r="M140" s="3">
        <v>7200</v>
      </c>
      <c r="N140" s="3">
        <v>5726</v>
      </c>
      <c r="O140" s="3">
        <v>4609</v>
      </c>
      <c r="P140" s="3">
        <v>4066</v>
      </c>
      <c r="Q140" s="3">
        <v>3448</v>
      </c>
      <c r="R140" s="3">
        <v>2817</v>
      </c>
      <c r="S140" s="3">
        <v>2077</v>
      </c>
      <c r="T140" s="3">
        <v>1511</v>
      </c>
      <c r="U140" s="3">
        <v>1249</v>
      </c>
      <c r="V140" s="3">
        <v>785</v>
      </c>
      <c r="W140" s="3">
        <v>640</v>
      </c>
      <c r="X140" s="3">
        <v>435</v>
      </c>
      <c r="Y140" s="3">
        <v>245</v>
      </c>
      <c r="Z140" s="3">
        <v>42418</v>
      </c>
      <c r="AA140" s="3">
        <v>7833</v>
      </c>
      <c r="AB140" s="3">
        <v>6906</v>
      </c>
      <c r="AC140" s="3">
        <v>5665</v>
      </c>
      <c r="AD140" s="3">
        <v>4889</v>
      </c>
      <c r="AE140" s="3">
        <v>3520</v>
      </c>
      <c r="AF140" s="3">
        <v>2831</v>
      </c>
      <c r="AG140" s="3">
        <v>2237</v>
      </c>
      <c r="AH140" s="3">
        <v>1962</v>
      </c>
      <c r="AI140" s="3">
        <v>1787</v>
      </c>
      <c r="AJ140" s="3">
        <v>1447</v>
      </c>
      <c r="AK140" s="3">
        <v>1064</v>
      </c>
      <c r="AL140" s="3">
        <v>741</v>
      </c>
      <c r="AM140" s="3">
        <v>567</v>
      </c>
      <c r="AN140" s="3">
        <v>362</v>
      </c>
      <c r="AO140" s="3">
        <v>289</v>
      </c>
      <c r="AP140" s="3">
        <v>202</v>
      </c>
      <c r="AQ140" s="3">
        <v>116</v>
      </c>
      <c r="AR140" s="3">
        <v>42312</v>
      </c>
      <c r="AS140" s="3">
        <v>7791</v>
      </c>
      <c r="AT140" s="3">
        <v>6608</v>
      </c>
      <c r="AU140" s="3">
        <v>5568</v>
      </c>
      <c r="AV140" s="3">
        <v>4662</v>
      </c>
      <c r="AW140" s="3">
        <v>3680</v>
      </c>
      <c r="AX140" s="3">
        <v>2895</v>
      </c>
      <c r="AY140" s="3">
        <v>2372</v>
      </c>
      <c r="AZ140" s="3">
        <v>2104</v>
      </c>
      <c r="BA140" s="3">
        <v>1661</v>
      </c>
      <c r="BB140" s="3">
        <v>1370</v>
      </c>
      <c r="BC140" s="3">
        <v>1013</v>
      </c>
      <c r="BD140" s="3">
        <v>770</v>
      </c>
      <c r="BE140" s="3">
        <v>682</v>
      </c>
      <c r="BF140" s="3">
        <v>423</v>
      </c>
      <c r="BG140" s="3">
        <v>351</v>
      </c>
      <c r="BH140" s="3">
        <v>233</v>
      </c>
      <c r="BI140" s="3">
        <v>129</v>
      </c>
    </row>
    <row r="141" spans="1:61" x14ac:dyDescent="0.25">
      <c r="A141" s="12" t="s">
        <v>3</v>
      </c>
      <c r="B141" s="12" t="s">
        <v>291</v>
      </c>
      <c r="C141" s="2" t="s">
        <v>253</v>
      </c>
      <c r="D141" s="2" t="s">
        <v>498</v>
      </c>
      <c r="E141" s="2" t="s">
        <v>269</v>
      </c>
      <c r="F141" s="2" t="s">
        <v>270</v>
      </c>
      <c r="G141" s="2">
        <v>2020</v>
      </c>
      <c r="H141" s="3">
        <v>36870</v>
      </c>
      <c r="I141" s="3">
        <v>7086</v>
      </c>
      <c r="J141" s="3">
        <v>5932</v>
      </c>
      <c r="K141" s="3">
        <v>4733</v>
      </c>
      <c r="L141" s="3">
        <v>3766</v>
      </c>
      <c r="M141" s="3">
        <v>2946</v>
      </c>
      <c r="N141" s="3">
        <v>2340</v>
      </c>
      <c r="O141" s="3">
        <v>2087</v>
      </c>
      <c r="P141" s="3">
        <v>1739</v>
      </c>
      <c r="Q141" s="3">
        <v>1425</v>
      </c>
      <c r="R141" s="3">
        <v>1124</v>
      </c>
      <c r="S141" s="3">
        <v>846</v>
      </c>
      <c r="T141" s="3">
        <v>760</v>
      </c>
      <c r="U141" s="3">
        <v>688</v>
      </c>
      <c r="V141" s="3">
        <v>454</v>
      </c>
      <c r="W141" s="3">
        <v>415</v>
      </c>
      <c r="X141" s="3">
        <v>285</v>
      </c>
      <c r="Y141" s="3">
        <v>244</v>
      </c>
      <c r="Z141" s="3">
        <v>18124</v>
      </c>
      <c r="AA141" s="3">
        <v>3533</v>
      </c>
      <c r="AB141" s="3">
        <v>3039</v>
      </c>
      <c r="AC141" s="3">
        <v>2324</v>
      </c>
      <c r="AD141" s="3">
        <v>1953</v>
      </c>
      <c r="AE141" s="3">
        <v>1453</v>
      </c>
      <c r="AF141" s="3">
        <v>1224</v>
      </c>
      <c r="AG141" s="3">
        <v>990</v>
      </c>
      <c r="AH141" s="3">
        <v>817</v>
      </c>
      <c r="AI141" s="3">
        <v>700</v>
      </c>
      <c r="AJ141" s="3">
        <v>531</v>
      </c>
      <c r="AK141" s="3">
        <v>373</v>
      </c>
      <c r="AL141" s="3">
        <v>318</v>
      </c>
      <c r="AM141" s="3">
        <v>278</v>
      </c>
      <c r="AN141" s="3">
        <v>202</v>
      </c>
      <c r="AO141" s="3">
        <v>170</v>
      </c>
      <c r="AP141" s="3">
        <v>122</v>
      </c>
      <c r="AQ141" s="3">
        <v>97</v>
      </c>
      <c r="AR141" s="3">
        <v>18746</v>
      </c>
      <c r="AS141" s="3">
        <v>3553</v>
      </c>
      <c r="AT141" s="3">
        <v>2893</v>
      </c>
      <c r="AU141" s="3">
        <v>2409</v>
      </c>
      <c r="AV141" s="3">
        <v>1813</v>
      </c>
      <c r="AW141" s="3">
        <v>1493</v>
      </c>
      <c r="AX141" s="3">
        <v>1116</v>
      </c>
      <c r="AY141" s="3">
        <v>1097</v>
      </c>
      <c r="AZ141" s="3">
        <v>922</v>
      </c>
      <c r="BA141" s="3">
        <v>725</v>
      </c>
      <c r="BB141" s="3">
        <v>593</v>
      </c>
      <c r="BC141" s="3">
        <v>473</v>
      </c>
      <c r="BD141" s="3">
        <v>442</v>
      </c>
      <c r="BE141" s="3">
        <v>410</v>
      </c>
      <c r="BF141" s="3">
        <v>252</v>
      </c>
      <c r="BG141" s="3">
        <v>245</v>
      </c>
      <c r="BH141" s="3">
        <v>163</v>
      </c>
      <c r="BI141" s="3">
        <v>147</v>
      </c>
    </row>
    <row r="142" spans="1:61" x14ac:dyDescent="0.25">
      <c r="A142" s="12" t="s">
        <v>3</v>
      </c>
      <c r="B142" s="12" t="s">
        <v>291</v>
      </c>
      <c r="C142" s="2" t="s">
        <v>253</v>
      </c>
      <c r="D142" s="2" t="s">
        <v>498</v>
      </c>
      <c r="E142" s="2" t="s">
        <v>269</v>
      </c>
      <c r="F142" s="2" t="s">
        <v>271</v>
      </c>
      <c r="G142" s="2">
        <v>2020</v>
      </c>
      <c r="H142" s="3">
        <v>26449</v>
      </c>
      <c r="I142" s="3">
        <v>4776</v>
      </c>
      <c r="J142" s="3">
        <v>4164</v>
      </c>
      <c r="K142" s="3">
        <v>3501</v>
      </c>
      <c r="L142" s="3">
        <v>2609</v>
      </c>
      <c r="M142" s="3">
        <v>2146</v>
      </c>
      <c r="N142" s="3">
        <v>1835</v>
      </c>
      <c r="O142" s="3">
        <v>1615</v>
      </c>
      <c r="P142" s="3">
        <v>1214</v>
      </c>
      <c r="Q142" s="3">
        <v>1062</v>
      </c>
      <c r="R142" s="3">
        <v>785</v>
      </c>
      <c r="S142" s="3">
        <v>625</v>
      </c>
      <c r="T142" s="3">
        <v>523</v>
      </c>
      <c r="U142" s="3">
        <v>460</v>
      </c>
      <c r="V142" s="3">
        <v>367</v>
      </c>
      <c r="W142" s="3">
        <v>335</v>
      </c>
      <c r="X142" s="3">
        <v>231</v>
      </c>
      <c r="Y142" s="3">
        <v>201</v>
      </c>
      <c r="Z142" s="3">
        <v>13150</v>
      </c>
      <c r="AA142" s="3">
        <v>2400</v>
      </c>
      <c r="AB142" s="3">
        <v>2106</v>
      </c>
      <c r="AC142" s="3">
        <v>1847</v>
      </c>
      <c r="AD142" s="3">
        <v>1357</v>
      </c>
      <c r="AE142" s="3">
        <v>1066</v>
      </c>
      <c r="AF142" s="3">
        <v>915</v>
      </c>
      <c r="AG142" s="3">
        <v>791</v>
      </c>
      <c r="AH142" s="3">
        <v>636</v>
      </c>
      <c r="AI142" s="3">
        <v>536</v>
      </c>
      <c r="AJ142" s="3">
        <v>388</v>
      </c>
      <c r="AK142" s="3">
        <v>308</v>
      </c>
      <c r="AL142" s="3">
        <v>208</v>
      </c>
      <c r="AM142" s="3">
        <v>159</v>
      </c>
      <c r="AN142" s="3">
        <v>148</v>
      </c>
      <c r="AO142" s="3">
        <v>124</v>
      </c>
      <c r="AP142" s="3">
        <v>89</v>
      </c>
      <c r="AQ142" s="3">
        <v>72</v>
      </c>
      <c r="AR142" s="3">
        <v>13299</v>
      </c>
      <c r="AS142" s="3">
        <v>2376</v>
      </c>
      <c r="AT142" s="3">
        <v>2058</v>
      </c>
      <c r="AU142" s="3">
        <v>1654</v>
      </c>
      <c r="AV142" s="3">
        <v>1252</v>
      </c>
      <c r="AW142" s="3">
        <v>1080</v>
      </c>
      <c r="AX142" s="3">
        <v>920</v>
      </c>
      <c r="AY142" s="3">
        <v>824</v>
      </c>
      <c r="AZ142" s="3">
        <v>578</v>
      </c>
      <c r="BA142" s="3">
        <v>526</v>
      </c>
      <c r="BB142" s="3">
        <v>397</v>
      </c>
      <c r="BC142" s="3">
        <v>317</v>
      </c>
      <c r="BD142" s="3">
        <v>315</v>
      </c>
      <c r="BE142" s="3">
        <v>301</v>
      </c>
      <c r="BF142" s="3">
        <v>219</v>
      </c>
      <c r="BG142" s="3">
        <v>211</v>
      </c>
      <c r="BH142" s="3">
        <v>142</v>
      </c>
      <c r="BI142" s="3">
        <v>129</v>
      </c>
    </row>
    <row r="143" spans="1:61" x14ac:dyDescent="0.25">
      <c r="A143" s="12" t="s">
        <v>3</v>
      </c>
      <c r="B143" s="12" t="s">
        <v>291</v>
      </c>
      <c r="C143" s="2" t="s">
        <v>253</v>
      </c>
      <c r="D143" s="2" t="s">
        <v>498</v>
      </c>
      <c r="E143" s="2" t="s">
        <v>269</v>
      </c>
      <c r="F143" s="2" t="s">
        <v>269</v>
      </c>
      <c r="G143" s="2">
        <v>2020</v>
      </c>
      <c r="H143" s="3">
        <v>61124</v>
      </c>
      <c r="I143" s="3">
        <v>10869</v>
      </c>
      <c r="J143" s="3">
        <v>9087</v>
      </c>
      <c r="K143" s="3">
        <v>7479</v>
      </c>
      <c r="L143" s="3">
        <v>6454</v>
      </c>
      <c r="M143" s="3">
        <v>5819</v>
      </c>
      <c r="N143" s="3">
        <v>4759</v>
      </c>
      <c r="O143" s="3">
        <v>3869</v>
      </c>
      <c r="P143" s="3">
        <v>3051</v>
      </c>
      <c r="Q143" s="3">
        <v>2448</v>
      </c>
      <c r="R143" s="3">
        <v>1916</v>
      </c>
      <c r="S143" s="3">
        <v>1331</v>
      </c>
      <c r="T143" s="3">
        <v>1180</v>
      </c>
      <c r="U143" s="3">
        <v>947</v>
      </c>
      <c r="V143" s="3">
        <v>623</v>
      </c>
      <c r="W143" s="3">
        <v>568</v>
      </c>
      <c r="X143" s="3">
        <v>389</v>
      </c>
      <c r="Y143" s="3">
        <v>335</v>
      </c>
      <c r="Z143" s="3">
        <v>30624</v>
      </c>
      <c r="AA143" s="3">
        <v>5479</v>
      </c>
      <c r="AB143" s="3">
        <v>4573</v>
      </c>
      <c r="AC143" s="3">
        <v>3818</v>
      </c>
      <c r="AD143" s="3">
        <v>3292</v>
      </c>
      <c r="AE143" s="3">
        <v>2956</v>
      </c>
      <c r="AF143" s="3">
        <v>2437</v>
      </c>
      <c r="AG143" s="3">
        <v>1983</v>
      </c>
      <c r="AH143" s="3">
        <v>1516</v>
      </c>
      <c r="AI143" s="3">
        <v>1221</v>
      </c>
      <c r="AJ143" s="3">
        <v>958</v>
      </c>
      <c r="AK143" s="3">
        <v>665</v>
      </c>
      <c r="AL143" s="3">
        <v>521</v>
      </c>
      <c r="AM143" s="3">
        <v>413</v>
      </c>
      <c r="AN143" s="3">
        <v>273</v>
      </c>
      <c r="AO143" s="3">
        <v>228</v>
      </c>
      <c r="AP143" s="3">
        <v>162</v>
      </c>
      <c r="AQ143" s="3">
        <v>129</v>
      </c>
      <c r="AR143" s="3">
        <v>30500</v>
      </c>
      <c r="AS143" s="3">
        <v>5390</v>
      </c>
      <c r="AT143" s="3">
        <v>4514</v>
      </c>
      <c r="AU143" s="3">
        <v>3661</v>
      </c>
      <c r="AV143" s="3">
        <v>3162</v>
      </c>
      <c r="AW143" s="3">
        <v>2863</v>
      </c>
      <c r="AX143" s="3">
        <v>2322</v>
      </c>
      <c r="AY143" s="3">
        <v>1886</v>
      </c>
      <c r="AZ143" s="3">
        <v>1535</v>
      </c>
      <c r="BA143" s="3">
        <v>1227</v>
      </c>
      <c r="BB143" s="3">
        <v>958</v>
      </c>
      <c r="BC143" s="3">
        <v>666</v>
      </c>
      <c r="BD143" s="3">
        <v>659</v>
      </c>
      <c r="BE143" s="3">
        <v>534</v>
      </c>
      <c r="BF143" s="3">
        <v>350</v>
      </c>
      <c r="BG143" s="3">
        <v>340</v>
      </c>
      <c r="BH143" s="3">
        <v>227</v>
      </c>
      <c r="BI143" s="3">
        <v>206</v>
      </c>
    </row>
    <row r="144" spans="1:61" x14ac:dyDescent="0.25">
      <c r="A144" s="12" t="s">
        <v>3</v>
      </c>
      <c r="B144" s="12" t="s">
        <v>291</v>
      </c>
      <c r="C144" s="2" t="s">
        <v>253</v>
      </c>
      <c r="D144" s="2" t="s">
        <v>498</v>
      </c>
      <c r="E144" s="2" t="s">
        <v>272</v>
      </c>
      <c r="F144" s="2" t="s">
        <v>273</v>
      </c>
      <c r="G144" s="2">
        <v>2020</v>
      </c>
      <c r="H144" s="3">
        <v>120678</v>
      </c>
      <c r="I144" s="3">
        <v>24236</v>
      </c>
      <c r="J144" s="3">
        <v>20077</v>
      </c>
      <c r="K144" s="3">
        <v>15205</v>
      </c>
      <c r="L144" s="3">
        <v>11959</v>
      </c>
      <c r="M144" s="3">
        <v>10365</v>
      </c>
      <c r="N144" s="3">
        <v>8939</v>
      </c>
      <c r="O144" s="3">
        <v>6293</v>
      </c>
      <c r="P144" s="3">
        <v>4856</v>
      </c>
      <c r="Q144" s="3">
        <v>4723</v>
      </c>
      <c r="R144" s="3">
        <v>3843</v>
      </c>
      <c r="S144" s="3">
        <v>2903</v>
      </c>
      <c r="T144" s="3">
        <v>2027</v>
      </c>
      <c r="U144" s="3">
        <v>1752</v>
      </c>
      <c r="V144" s="3">
        <v>1132</v>
      </c>
      <c r="W144" s="3">
        <v>1020</v>
      </c>
      <c r="X144" s="3">
        <v>624</v>
      </c>
      <c r="Y144" s="3">
        <v>724</v>
      </c>
      <c r="Z144" s="3">
        <v>58702</v>
      </c>
      <c r="AA144" s="3">
        <v>12364</v>
      </c>
      <c r="AB144" s="3">
        <v>10155</v>
      </c>
      <c r="AC144" s="3">
        <v>7686</v>
      </c>
      <c r="AD144" s="3">
        <v>5896</v>
      </c>
      <c r="AE144" s="3">
        <v>4834</v>
      </c>
      <c r="AF144" s="3">
        <v>4288</v>
      </c>
      <c r="AG144" s="3">
        <v>2968</v>
      </c>
      <c r="AH144" s="3">
        <v>2149</v>
      </c>
      <c r="AI144" s="3">
        <v>2113</v>
      </c>
      <c r="AJ144" s="3">
        <v>1790</v>
      </c>
      <c r="AK144" s="3">
        <v>1428</v>
      </c>
      <c r="AL144" s="3">
        <v>890</v>
      </c>
      <c r="AM144" s="3">
        <v>686</v>
      </c>
      <c r="AN144" s="3">
        <v>480</v>
      </c>
      <c r="AO144" s="3">
        <v>455</v>
      </c>
      <c r="AP144" s="3">
        <v>272</v>
      </c>
      <c r="AQ144" s="3">
        <v>248</v>
      </c>
      <c r="AR144" s="3">
        <v>61976</v>
      </c>
      <c r="AS144" s="3">
        <v>11872</v>
      </c>
      <c r="AT144" s="3">
        <v>9922</v>
      </c>
      <c r="AU144" s="3">
        <v>7519</v>
      </c>
      <c r="AV144" s="3">
        <v>6063</v>
      </c>
      <c r="AW144" s="3">
        <v>5531</v>
      </c>
      <c r="AX144" s="3">
        <v>4651</v>
      </c>
      <c r="AY144" s="3">
        <v>3325</v>
      </c>
      <c r="AZ144" s="3">
        <v>2707</v>
      </c>
      <c r="BA144" s="3">
        <v>2610</v>
      </c>
      <c r="BB144" s="3">
        <v>2053</v>
      </c>
      <c r="BC144" s="3">
        <v>1475</v>
      </c>
      <c r="BD144" s="3">
        <v>1137</v>
      </c>
      <c r="BE144" s="3">
        <v>1066</v>
      </c>
      <c r="BF144" s="3">
        <v>652</v>
      </c>
      <c r="BG144" s="3">
        <v>565</v>
      </c>
      <c r="BH144" s="3">
        <v>352</v>
      </c>
      <c r="BI144" s="3">
        <v>476</v>
      </c>
    </row>
    <row r="145" spans="1:61" x14ac:dyDescent="0.25">
      <c r="A145" s="12" t="s">
        <v>3</v>
      </c>
      <c r="B145" s="12" t="s">
        <v>291</v>
      </c>
      <c r="C145" s="2" t="s">
        <v>231</v>
      </c>
      <c r="D145" s="2" t="s">
        <v>470</v>
      </c>
      <c r="E145" s="2" t="s">
        <v>251</v>
      </c>
      <c r="F145" s="2" t="s">
        <v>251</v>
      </c>
      <c r="G145" s="2">
        <v>2020</v>
      </c>
      <c r="H145" s="3">
        <v>133737</v>
      </c>
      <c r="I145" s="3">
        <v>24953</v>
      </c>
      <c r="J145" s="3">
        <v>20970</v>
      </c>
      <c r="K145" s="3">
        <v>17638</v>
      </c>
      <c r="L145" s="3">
        <v>14512</v>
      </c>
      <c r="M145" s="3">
        <v>11680</v>
      </c>
      <c r="N145" s="3">
        <v>10000</v>
      </c>
      <c r="O145" s="3">
        <v>8120</v>
      </c>
      <c r="P145" s="3">
        <v>6936</v>
      </c>
      <c r="Q145" s="3">
        <v>5511</v>
      </c>
      <c r="R145" s="3">
        <v>4054</v>
      </c>
      <c r="S145" s="3">
        <v>2782</v>
      </c>
      <c r="T145" s="3">
        <v>2034</v>
      </c>
      <c r="U145" s="3">
        <v>1494</v>
      </c>
      <c r="V145" s="3">
        <v>1074</v>
      </c>
      <c r="W145" s="3">
        <v>902</v>
      </c>
      <c r="X145" s="3">
        <v>590</v>
      </c>
      <c r="Y145" s="3">
        <v>487</v>
      </c>
      <c r="Z145" s="3">
        <v>66721</v>
      </c>
      <c r="AA145" s="3">
        <v>12635</v>
      </c>
      <c r="AB145" s="3">
        <v>10650</v>
      </c>
      <c r="AC145" s="3">
        <v>8816</v>
      </c>
      <c r="AD145" s="3">
        <v>7564</v>
      </c>
      <c r="AE145" s="3">
        <v>5925</v>
      </c>
      <c r="AF145" s="3">
        <v>4906</v>
      </c>
      <c r="AG145" s="3">
        <v>4058</v>
      </c>
      <c r="AH145" s="3">
        <v>3449</v>
      </c>
      <c r="AI145" s="3">
        <v>2670</v>
      </c>
      <c r="AJ145" s="3">
        <v>1958</v>
      </c>
      <c r="AK145" s="3">
        <v>1389</v>
      </c>
      <c r="AL145" s="3">
        <v>910</v>
      </c>
      <c r="AM145" s="3">
        <v>664</v>
      </c>
      <c r="AN145" s="3">
        <v>437</v>
      </c>
      <c r="AO145" s="3">
        <v>330</v>
      </c>
      <c r="AP145" s="3">
        <v>204</v>
      </c>
      <c r="AQ145" s="3">
        <v>156</v>
      </c>
      <c r="AR145" s="3">
        <v>67016</v>
      </c>
      <c r="AS145" s="3">
        <v>12318</v>
      </c>
      <c r="AT145" s="3">
        <v>10320</v>
      </c>
      <c r="AU145" s="3">
        <v>8822</v>
      </c>
      <c r="AV145" s="3">
        <v>6948</v>
      </c>
      <c r="AW145" s="3">
        <v>5755</v>
      </c>
      <c r="AX145" s="3">
        <v>5094</v>
      </c>
      <c r="AY145" s="3">
        <v>4062</v>
      </c>
      <c r="AZ145" s="3">
        <v>3487</v>
      </c>
      <c r="BA145" s="3">
        <v>2841</v>
      </c>
      <c r="BB145" s="3">
        <v>2096</v>
      </c>
      <c r="BC145" s="3">
        <v>1393</v>
      </c>
      <c r="BD145" s="3">
        <v>1124</v>
      </c>
      <c r="BE145" s="3">
        <v>830</v>
      </c>
      <c r="BF145" s="3">
        <v>637</v>
      </c>
      <c r="BG145" s="3">
        <v>572</v>
      </c>
      <c r="BH145" s="3">
        <v>386</v>
      </c>
      <c r="BI145" s="3">
        <v>331</v>
      </c>
    </row>
    <row r="146" spans="1:61" x14ac:dyDescent="0.25">
      <c r="A146" s="12" t="s">
        <v>3</v>
      </c>
      <c r="B146" s="12" t="s">
        <v>291</v>
      </c>
      <c r="C146" s="2" t="s">
        <v>231</v>
      </c>
      <c r="D146" s="2" t="s">
        <v>470</v>
      </c>
      <c r="E146" s="2" t="s">
        <v>252</v>
      </c>
      <c r="F146" s="2" t="s">
        <v>252</v>
      </c>
      <c r="G146" s="2">
        <v>2020</v>
      </c>
      <c r="H146" s="3">
        <v>124804</v>
      </c>
      <c r="I146" s="3">
        <v>22628</v>
      </c>
      <c r="J146" s="3">
        <v>20182</v>
      </c>
      <c r="K146" s="3">
        <v>16932</v>
      </c>
      <c r="L146" s="3">
        <v>14394</v>
      </c>
      <c r="M146" s="3">
        <v>11167</v>
      </c>
      <c r="N146" s="3">
        <v>8906</v>
      </c>
      <c r="O146" s="3">
        <v>7043</v>
      </c>
      <c r="P146" s="3">
        <v>5929</v>
      </c>
      <c r="Q146" s="3">
        <v>5457</v>
      </c>
      <c r="R146" s="3">
        <v>3870</v>
      </c>
      <c r="S146" s="3">
        <v>2646</v>
      </c>
      <c r="T146" s="3">
        <v>1795</v>
      </c>
      <c r="U146" s="3">
        <v>1374</v>
      </c>
      <c r="V146" s="3">
        <v>1034</v>
      </c>
      <c r="W146" s="3">
        <v>785</v>
      </c>
      <c r="X146" s="3">
        <v>399</v>
      </c>
      <c r="Y146" s="3">
        <v>263</v>
      </c>
      <c r="Z146" s="3">
        <v>61268</v>
      </c>
      <c r="AA146" s="3">
        <v>11287</v>
      </c>
      <c r="AB146" s="3">
        <v>10004</v>
      </c>
      <c r="AC146" s="3">
        <v>8545</v>
      </c>
      <c r="AD146" s="3">
        <v>7209</v>
      </c>
      <c r="AE146" s="3">
        <v>5588</v>
      </c>
      <c r="AF146" s="3">
        <v>4498</v>
      </c>
      <c r="AG146" s="3">
        <v>3309</v>
      </c>
      <c r="AH146" s="3">
        <v>2777</v>
      </c>
      <c r="AI146" s="3">
        <v>2582</v>
      </c>
      <c r="AJ146" s="3">
        <v>1904</v>
      </c>
      <c r="AK146" s="3">
        <v>1294</v>
      </c>
      <c r="AL146" s="3">
        <v>835</v>
      </c>
      <c r="AM146" s="3">
        <v>594</v>
      </c>
      <c r="AN146" s="3">
        <v>375</v>
      </c>
      <c r="AO146" s="3">
        <v>244</v>
      </c>
      <c r="AP146" s="3">
        <v>135</v>
      </c>
      <c r="AQ146" s="3">
        <v>88</v>
      </c>
      <c r="AR146" s="3">
        <v>63536</v>
      </c>
      <c r="AS146" s="3">
        <v>11341</v>
      </c>
      <c r="AT146" s="3">
        <v>10178</v>
      </c>
      <c r="AU146" s="3">
        <v>8387</v>
      </c>
      <c r="AV146" s="3">
        <v>7185</v>
      </c>
      <c r="AW146" s="3">
        <v>5579</v>
      </c>
      <c r="AX146" s="3">
        <v>4408</v>
      </c>
      <c r="AY146" s="3">
        <v>3734</v>
      </c>
      <c r="AZ146" s="3">
        <v>3152</v>
      </c>
      <c r="BA146" s="3">
        <v>2875</v>
      </c>
      <c r="BB146" s="3">
        <v>1966</v>
      </c>
      <c r="BC146" s="3">
        <v>1352</v>
      </c>
      <c r="BD146" s="3">
        <v>960</v>
      </c>
      <c r="BE146" s="3">
        <v>780</v>
      </c>
      <c r="BF146" s="3">
        <v>659</v>
      </c>
      <c r="BG146" s="3">
        <v>541</v>
      </c>
      <c r="BH146" s="3">
        <v>264</v>
      </c>
      <c r="BI146" s="3">
        <v>175</v>
      </c>
    </row>
    <row r="147" spans="1:61" x14ac:dyDescent="0.25">
      <c r="A147" s="12" t="s">
        <v>3</v>
      </c>
      <c r="B147" s="12" t="s">
        <v>291</v>
      </c>
      <c r="C147" s="2" t="s">
        <v>215</v>
      </c>
      <c r="D147" s="2" t="s">
        <v>422</v>
      </c>
      <c r="E147" s="2" t="s">
        <v>224</v>
      </c>
      <c r="F147" s="2" t="s">
        <v>225</v>
      </c>
      <c r="G147" s="2">
        <v>2020</v>
      </c>
      <c r="H147" s="3">
        <v>244125</v>
      </c>
      <c r="I147" s="3">
        <v>44576</v>
      </c>
      <c r="J147" s="3">
        <v>36268</v>
      </c>
      <c r="K147" s="3">
        <v>30833</v>
      </c>
      <c r="L147" s="3">
        <v>27008</v>
      </c>
      <c r="M147" s="3">
        <v>24494</v>
      </c>
      <c r="N147" s="3">
        <v>21753</v>
      </c>
      <c r="O147" s="3">
        <v>16203</v>
      </c>
      <c r="P147" s="3">
        <v>11953</v>
      </c>
      <c r="Q147" s="3">
        <v>10059</v>
      </c>
      <c r="R147" s="3">
        <v>6908</v>
      </c>
      <c r="S147" s="3">
        <v>4743</v>
      </c>
      <c r="T147" s="3">
        <v>3439</v>
      </c>
      <c r="U147" s="3">
        <v>2364</v>
      </c>
      <c r="V147" s="3">
        <v>1414</v>
      </c>
      <c r="W147" s="3">
        <v>1000</v>
      </c>
      <c r="X147" s="3">
        <v>640</v>
      </c>
      <c r="Y147" s="3">
        <v>470</v>
      </c>
      <c r="Z147" s="3">
        <v>122907</v>
      </c>
      <c r="AA147" s="3">
        <v>22164</v>
      </c>
      <c r="AB147" s="3">
        <v>18078</v>
      </c>
      <c r="AC147" s="3">
        <v>14954</v>
      </c>
      <c r="AD147" s="3">
        <v>13185</v>
      </c>
      <c r="AE147" s="3">
        <v>12088</v>
      </c>
      <c r="AF147" s="3">
        <v>11277</v>
      </c>
      <c r="AG147" s="3">
        <v>8667</v>
      </c>
      <c r="AH147" s="3">
        <v>6417</v>
      </c>
      <c r="AI147" s="3">
        <v>5215</v>
      </c>
      <c r="AJ147" s="3">
        <v>3638</v>
      </c>
      <c r="AK147" s="3">
        <v>2591</v>
      </c>
      <c r="AL147" s="3">
        <v>1848</v>
      </c>
      <c r="AM147" s="3">
        <v>1220</v>
      </c>
      <c r="AN147" s="3">
        <v>663</v>
      </c>
      <c r="AO147" s="3">
        <v>466</v>
      </c>
      <c r="AP147" s="3">
        <v>267</v>
      </c>
      <c r="AQ147" s="3">
        <v>169</v>
      </c>
      <c r="AR147" s="3">
        <v>121218</v>
      </c>
      <c r="AS147" s="3">
        <v>22412</v>
      </c>
      <c r="AT147" s="3">
        <v>18190</v>
      </c>
      <c r="AU147" s="3">
        <v>15879</v>
      </c>
      <c r="AV147" s="3">
        <v>13823</v>
      </c>
      <c r="AW147" s="3">
        <v>12406</v>
      </c>
      <c r="AX147" s="3">
        <v>10476</v>
      </c>
      <c r="AY147" s="3">
        <v>7536</v>
      </c>
      <c r="AZ147" s="3">
        <v>5536</v>
      </c>
      <c r="BA147" s="3">
        <v>4844</v>
      </c>
      <c r="BB147" s="3">
        <v>3270</v>
      </c>
      <c r="BC147" s="3">
        <v>2152</v>
      </c>
      <c r="BD147" s="3">
        <v>1591</v>
      </c>
      <c r="BE147" s="3">
        <v>1144</v>
      </c>
      <c r="BF147" s="3">
        <v>751</v>
      </c>
      <c r="BG147" s="3">
        <v>534</v>
      </c>
      <c r="BH147" s="3">
        <v>373</v>
      </c>
      <c r="BI147" s="3">
        <v>301</v>
      </c>
    </row>
    <row r="148" spans="1:61" x14ac:dyDescent="0.25">
      <c r="A148" s="12" t="s">
        <v>3</v>
      </c>
      <c r="B148" s="12" t="s">
        <v>291</v>
      </c>
      <c r="C148" s="2" t="s">
        <v>215</v>
      </c>
      <c r="D148" s="2" t="s">
        <v>422</v>
      </c>
      <c r="E148" s="2" t="s">
        <v>224</v>
      </c>
      <c r="F148" s="2" t="s">
        <v>226</v>
      </c>
      <c r="G148" s="2">
        <v>2020</v>
      </c>
      <c r="H148" s="3">
        <v>33523</v>
      </c>
      <c r="I148" s="3">
        <v>6431</v>
      </c>
      <c r="J148" s="3">
        <v>5596</v>
      </c>
      <c r="K148" s="3">
        <v>4644</v>
      </c>
      <c r="L148" s="3">
        <v>3490</v>
      </c>
      <c r="M148" s="3">
        <v>2549</v>
      </c>
      <c r="N148" s="3">
        <v>2086</v>
      </c>
      <c r="O148" s="3">
        <v>1699</v>
      </c>
      <c r="P148" s="3">
        <v>1622</v>
      </c>
      <c r="Q148" s="3">
        <v>1438</v>
      </c>
      <c r="R148" s="3">
        <v>1117</v>
      </c>
      <c r="S148" s="3">
        <v>814</v>
      </c>
      <c r="T148" s="3">
        <v>649</v>
      </c>
      <c r="U148" s="3">
        <v>502</v>
      </c>
      <c r="V148" s="3">
        <v>357</v>
      </c>
      <c r="W148" s="3">
        <v>251</v>
      </c>
      <c r="X148" s="3">
        <v>161</v>
      </c>
      <c r="Y148" s="3">
        <v>117</v>
      </c>
      <c r="Z148" s="3">
        <v>16750</v>
      </c>
      <c r="AA148" s="3">
        <v>3145</v>
      </c>
      <c r="AB148" s="3">
        <v>2829</v>
      </c>
      <c r="AC148" s="3">
        <v>2480</v>
      </c>
      <c r="AD148" s="3">
        <v>1770</v>
      </c>
      <c r="AE148" s="3">
        <v>1247</v>
      </c>
      <c r="AF148" s="3">
        <v>1073</v>
      </c>
      <c r="AG148" s="3">
        <v>819</v>
      </c>
      <c r="AH148" s="3">
        <v>765</v>
      </c>
      <c r="AI148" s="3">
        <v>699</v>
      </c>
      <c r="AJ148" s="3">
        <v>586</v>
      </c>
      <c r="AK148" s="3">
        <v>398</v>
      </c>
      <c r="AL148" s="3">
        <v>289</v>
      </c>
      <c r="AM148" s="3">
        <v>234</v>
      </c>
      <c r="AN148" s="3">
        <v>176</v>
      </c>
      <c r="AO148" s="3">
        <v>124</v>
      </c>
      <c r="AP148" s="3">
        <v>71</v>
      </c>
      <c r="AQ148" s="3">
        <v>45</v>
      </c>
      <c r="AR148" s="3">
        <v>16773</v>
      </c>
      <c r="AS148" s="3">
        <v>3286</v>
      </c>
      <c r="AT148" s="3">
        <v>2767</v>
      </c>
      <c r="AU148" s="3">
        <v>2164</v>
      </c>
      <c r="AV148" s="3">
        <v>1720</v>
      </c>
      <c r="AW148" s="3">
        <v>1302</v>
      </c>
      <c r="AX148" s="3">
        <v>1013</v>
      </c>
      <c r="AY148" s="3">
        <v>880</v>
      </c>
      <c r="AZ148" s="3">
        <v>857</v>
      </c>
      <c r="BA148" s="3">
        <v>739</v>
      </c>
      <c r="BB148" s="3">
        <v>531</v>
      </c>
      <c r="BC148" s="3">
        <v>416</v>
      </c>
      <c r="BD148" s="3">
        <v>360</v>
      </c>
      <c r="BE148" s="3">
        <v>268</v>
      </c>
      <c r="BF148" s="3">
        <v>181</v>
      </c>
      <c r="BG148" s="3">
        <v>127</v>
      </c>
      <c r="BH148" s="3">
        <v>90</v>
      </c>
      <c r="BI148" s="3">
        <v>72</v>
      </c>
    </row>
    <row r="149" spans="1:61" x14ac:dyDescent="0.25">
      <c r="A149" s="12" t="s">
        <v>3</v>
      </c>
      <c r="B149" s="12" t="s">
        <v>291</v>
      </c>
      <c r="C149" s="2" t="s">
        <v>215</v>
      </c>
      <c r="D149" s="2" t="s">
        <v>422</v>
      </c>
      <c r="E149" s="2" t="s">
        <v>224</v>
      </c>
      <c r="F149" s="2" t="s">
        <v>227</v>
      </c>
      <c r="G149" s="2">
        <v>2020</v>
      </c>
      <c r="H149" s="3">
        <v>74746</v>
      </c>
      <c r="I149" s="3">
        <v>15160</v>
      </c>
      <c r="J149" s="3">
        <v>12602</v>
      </c>
      <c r="K149" s="3">
        <v>10067</v>
      </c>
      <c r="L149" s="3">
        <v>7660</v>
      </c>
      <c r="M149" s="3">
        <v>5971</v>
      </c>
      <c r="N149" s="3">
        <v>5058</v>
      </c>
      <c r="O149" s="3">
        <v>4005</v>
      </c>
      <c r="P149" s="3">
        <v>3549</v>
      </c>
      <c r="Q149" s="3">
        <v>3074</v>
      </c>
      <c r="R149" s="3">
        <v>2265</v>
      </c>
      <c r="S149" s="3">
        <v>1581</v>
      </c>
      <c r="T149" s="3">
        <v>1192</v>
      </c>
      <c r="U149" s="3">
        <v>885</v>
      </c>
      <c r="V149" s="3">
        <v>676</v>
      </c>
      <c r="W149" s="3">
        <v>476</v>
      </c>
      <c r="X149" s="3">
        <v>303</v>
      </c>
      <c r="Y149" s="3">
        <v>222</v>
      </c>
      <c r="Z149" s="3">
        <v>37668</v>
      </c>
      <c r="AA149" s="3">
        <v>7714</v>
      </c>
      <c r="AB149" s="3">
        <v>6387</v>
      </c>
      <c r="AC149" s="3">
        <v>5094</v>
      </c>
      <c r="AD149" s="3">
        <v>3808</v>
      </c>
      <c r="AE149" s="3">
        <v>2917</v>
      </c>
      <c r="AF149" s="3">
        <v>2531</v>
      </c>
      <c r="AG149" s="3">
        <v>2055</v>
      </c>
      <c r="AH149" s="3">
        <v>1713</v>
      </c>
      <c r="AI149" s="3">
        <v>1548</v>
      </c>
      <c r="AJ149" s="3">
        <v>1194</v>
      </c>
      <c r="AK149" s="3">
        <v>850</v>
      </c>
      <c r="AL149" s="3">
        <v>625</v>
      </c>
      <c r="AM149" s="3">
        <v>424</v>
      </c>
      <c r="AN149" s="3">
        <v>342</v>
      </c>
      <c r="AO149" s="3">
        <v>240</v>
      </c>
      <c r="AP149" s="3">
        <v>138</v>
      </c>
      <c r="AQ149" s="3">
        <v>88</v>
      </c>
      <c r="AR149" s="3">
        <v>37078</v>
      </c>
      <c r="AS149" s="3">
        <v>7446</v>
      </c>
      <c r="AT149" s="3">
        <v>6215</v>
      </c>
      <c r="AU149" s="3">
        <v>4973</v>
      </c>
      <c r="AV149" s="3">
        <v>3852</v>
      </c>
      <c r="AW149" s="3">
        <v>3054</v>
      </c>
      <c r="AX149" s="3">
        <v>2527</v>
      </c>
      <c r="AY149" s="3">
        <v>1950</v>
      </c>
      <c r="AZ149" s="3">
        <v>1836</v>
      </c>
      <c r="BA149" s="3">
        <v>1526</v>
      </c>
      <c r="BB149" s="3">
        <v>1071</v>
      </c>
      <c r="BC149" s="3">
        <v>731</v>
      </c>
      <c r="BD149" s="3">
        <v>567</v>
      </c>
      <c r="BE149" s="3">
        <v>461</v>
      </c>
      <c r="BF149" s="3">
        <v>334</v>
      </c>
      <c r="BG149" s="3">
        <v>236</v>
      </c>
      <c r="BH149" s="3">
        <v>165</v>
      </c>
      <c r="BI149" s="3">
        <v>134</v>
      </c>
    </row>
    <row r="150" spans="1:61" x14ac:dyDescent="0.25">
      <c r="A150" s="12" t="s">
        <v>3</v>
      </c>
      <c r="B150" s="12" t="s">
        <v>291</v>
      </c>
      <c r="C150" s="2" t="s">
        <v>215</v>
      </c>
      <c r="D150" s="2" t="s">
        <v>422</v>
      </c>
      <c r="E150" s="2" t="s">
        <v>228</v>
      </c>
      <c r="F150" s="2" t="s">
        <v>229</v>
      </c>
      <c r="G150" s="2">
        <v>2020</v>
      </c>
      <c r="H150" s="3">
        <v>71916</v>
      </c>
      <c r="I150" s="3">
        <v>13764</v>
      </c>
      <c r="J150" s="3">
        <v>11816</v>
      </c>
      <c r="K150" s="3">
        <v>9865</v>
      </c>
      <c r="L150" s="3">
        <v>7540</v>
      </c>
      <c r="M150" s="3">
        <v>5639</v>
      </c>
      <c r="N150" s="3">
        <v>4798</v>
      </c>
      <c r="O150" s="3">
        <v>3962</v>
      </c>
      <c r="P150" s="3">
        <v>3317</v>
      </c>
      <c r="Q150" s="3">
        <v>2958</v>
      </c>
      <c r="R150" s="3">
        <v>2198</v>
      </c>
      <c r="S150" s="3">
        <v>1466</v>
      </c>
      <c r="T150" s="3">
        <v>1210</v>
      </c>
      <c r="U150" s="3">
        <v>961</v>
      </c>
      <c r="V150" s="3">
        <v>822</v>
      </c>
      <c r="W150" s="3">
        <v>631</v>
      </c>
      <c r="X150" s="3">
        <v>486</v>
      </c>
      <c r="Y150" s="3">
        <v>483</v>
      </c>
      <c r="Z150" s="3">
        <v>35458</v>
      </c>
      <c r="AA150" s="3">
        <v>6976</v>
      </c>
      <c r="AB150" s="3">
        <v>6027</v>
      </c>
      <c r="AC150" s="3">
        <v>4992</v>
      </c>
      <c r="AD150" s="3">
        <v>3829</v>
      </c>
      <c r="AE150" s="3">
        <v>2808</v>
      </c>
      <c r="AF150" s="3">
        <v>2312</v>
      </c>
      <c r="AG150" s="3">
        <v>1868</v>
      </c>
      <c r="AH150" s="3">
        <v>1526</v>
      </c>
      <c r="AI150" s="3">
        <v>1415</v>
      </c>
      <c r="AJ150" s="3">
        <v>1094</v>
      </c>
      <c r="AK150" s="3">
        <v>681</v>
      </c>
      <c r="AL150" s="3">
        <v>536</v>
      </c>
      <c r="AM150" s="3">
        <v>330</v>
      </c>
      <c r="AN150" s="3">
        <v>340</v>
      </c>
      <c r="AO150" s="3">
        <v>296</v>
      </c>
      <c r="AP150" s="3">
        <v>215</v>
      </c>
      <c r="AQ150" s="3">
        <v>213</v>
      </c>
      <c r="AR150" s="3">
        <v>36458</v>
      </c>
      <c r="AS150" s="3">
        <v>6788</v>
      </c>
      <c r="AT150" s="3">
        <v>5789</v>
      </c>
      <c r="AU150" s="3">
        <v>4873</v>
      </c>
      <c r="AV150" s="3">
        <v>3711</v>
      </c>
      <c r="AW150" s="3">
        <v>2831</v>
      </c>
      <c r="AX150" s="3">
        <v>2486</v>
      </c>
      <c r="AY150" s="3">
        <v>2094</v>
      </c>
      <c r="AZ150" s="3">
        <v>1791</v>
      </c>
      <c r="BA150" s="3">
        <v>1543</v>
      </c>
      <c r="BB150" s="3">
        <v>1104</v>
      </c>
      <c r="BC150" s="3">
        <v>785</v>
      </c>
      <c r="BD150" s="3">
        <v>674</v>
      </c>
      <c r="BE150" s="3">
        <v>631</v>
      </c>
      <c r="BF150" s="3">
        <v>482</v>
      </c>
      <c r="BG150" s="3">
        <v>335</v>
      </c>
      <c r="BH150" s="3">
        <v>271</v>
      </c>
      <c r="BI150" s="3">
        <v>270</v>
      </c>
    </row>
    <row r="151" spans="1:61" x14ac:dyDescent="0.25">
      <c r="A151" s="12" t="s">
        <v>3</v>
      </c>
      <c r="B151" s="12" t="s">
        <v>291</v>
      </c>
      <c r="C151" s="2" t="s">
        <v>215</v>
      </c>
      <c r="D151" s="2" t="s">
        <v>422</v>
      </c>
      <c r="E151" s="2" t="s">
        <v>228</v>
      </c>
      <c r="F151" s="2" t="s">
        <v>230</v>
      </c>
      <c r="G151" s="2">
        <v>2020</v>
      </c>
      <c r="H151" s="3">
        <v>24824</v>
      </c>
      <c r="I151" s="3">
        <v>5105</v>
      </c>
      <c r="J151" s="3">
        <v>4230</v>
      </c>
      <c r="K151" s="3">
        <v>3339</v>
      </c>
      <c r="L151" s="3">
        <v>2475</v>
      </c>
      <c r="M151" s="3">
        <v>1967</v>
      </c>
      <c r="N151" s="3">
        <v>1702</v>
      </c>
      <c r="O151" s="3">
        <v>1308</v>
      </c>
      <c r="P151" s="3">
        <v>1011</v>
      </c>
      <c r="Q151" s="3">
        <v>991</v>
      </c>
      <c r="R151" s="3">
        <v>790</v>
      </c>
      <c r="S151" s="3">
        <v>454</v>
      </c>
      <c r="T151" s="3">
        <v>355</v>
      </c>
      <c r="U151" s="3">
        <v>291</v>
      </c>
      <c r="V151" s="3">
        <v>274</v>
      </c>
      <c r="W151" s="3">
        <v>211</v>
      </c>
      <c r="X151" s="3">
        <v>161</v>
      </c>
      <c r="Y151" s="3">
        <v>160</v>
      </c>
      <c r="Z151" s="3">
        <v>12320</v>
      </c>
      <c r="AA151" s="3">
        <v>2564</v>
      </c>
      <c r="AB151" s="3">
        <v>2125</v>
      </c>
      <c r="AC151" s="3">
        <v>1713</v>
      </c>
      <c r="AD151" s="3">
        <v>1282</v>
      </c>
      <c r="AE151" s="3">
        <v>1021</v>
      </c>
      <c r="AF151" s="3">
        <v>857</v>
      </c>
      <c r="AG151" s="3">
        <v>630</v>
      </c>
      <c r="AH151" s="3">
        <v>451</v>
      </c>
      <c r="AI151" s="3">
        <v>439</v>
      </c>
      <c r="AJ151" s="3">
        <v>375</v>
      </c>
      <c r="AK151" s="3">
        <v>242</v>
      </c>
      <c r="AL151" s="3">
        <v>152</v>
      </c>
      <c r="AM151" s="3">
        <v>118</v>
      </c>
      <c r="AN151" s="3">
        <v>113</v>
      </c>
      <c r="AO151" s="3">
        <v>98</v>
      </c>
      <c r="AP151" s="3">
        <v>70</v>
      </c>
      <c r="AQ151" s="3">
        <v>70</v>
      </c>
      <c r="AR151" s="3">
        <v>12504</v>
      </c>
      <c r="AS151" s="3">
        <v>2541</v>
      </c>
      <c r="AT151" s="3">
        <v>2105</v>
      </c>
      <c r="AU151" s="3">
        <v>1626</v>
      </c>
      <c r="AV151" s="3">
        <v>1193</v>
      </c>
      <c r="AW151" s="3">
        <v>946</v>
      </c>
      <c r="AX151" s="3">
        <v>845</v>
      </c>
      <c r="AY151" s="3">
        <v>678</v>
      </c>
      <c r="AZ151" s="3">
        <v>560</v>
      </c>
      <c r="BA151" s="3">
        <v>552</v>
      </c>
      <c r="BB151" s="3">
        <v>415</v>
      </c>
      <c r="BC151" s="3">
        <v>212</v>
      </c>
      <c r="BD151" s="3">
        <v>203</v>
      </c>
      <c r="BE151" s="3">
        <v>173</v>
      </c>
      <c r="BF151" s="3">
        <v>161</v>
      </c>
      <c r="BG151" s="3">
        <v>113</v>
      </c>
      <c r="BH151" s="3">
        <v>91</v>
      </c>
      <c r="BI151" s="3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4" t="s">
        <v>11</v>
      </c>
    </row>
    <row r="7" spans="1:2" x14ac:dyDescent="0.25">
      <c r="A7" s="2" t="s">
        <v>12</v>
      </c>
      <c r="B7" s="4" t="s">
        <v>11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2" t="s">
        <v>27</v>
      </c>
      <c r="B15" s="2" t="s">
        <v>20</v>
      </c>
    </row>
    <row r="16" spans="1:2" x14ac:dyDescent="0.25">
      <c r="A16" s="2" t="s">
        <v>28</v>
      </c>
      <c r="B16" s="2" t="s">
        <v>22</v>
      </c>
    </row>
    <row r="17" spans="1:2" x14ac:dyDescent="0.25">
      <c r="A17" s="2" t="s">
        <v>29</v>
      </c>
      <c r="B17" s="2" t="s">
        <v>30</v>
      </c>
    </row>
    <row r="18" spans="1:2" x14ac:dyDescent="0.25">
      <c r="A18" s="2" t="s">
        <v>31</v>
      </c>
      <c r="B18" s="3" t="s">
        <v>32</v>
      </c>
    </row>
    <row r="19" spans="1:2" x14ac:dyDescent="0.25">
      <c r="A19" s="2" t="s">
        <v>33</v>
      </c>
      <c r="B19" s="2" t="s">
        <v>20</v>
      </c>
    </row>
    <row r="20" spans="1:2" x14ac:dyDescent="0.25">
      <c r="A20" s="2" t="s">
        <v>34</v>
      </c>
      <c r="B20" s="2" t="s">
        <v>22</v>
      </c>
    </row>
    <row r="21" spans="1:2" x14ac:dyDescent="0.25">
      <c r="A21" s="2" t="s">
        <v>35</v>
      </c>
      <c r="B21" s="2" t="s">
        <v>36</v>
      </c>
    </row>
  </sheetData>
  <hyperlinks>
    <hyperlink ref="B6" r:id="rId1" xr:uid="{00000000-0004-0000-0000-000000000000}"/>
    <hyperlink ref="B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AB-ADM1</vt:lpstr>
      <vt:lpstr>AB-ADM2</vt:lpstr>
      <vt:lpstr>zmb_admpop_adm0_2020</vt:lpstr>
      <vt:lpstr>zmb_admpop_adm1_2020</vt:lpstr>
      <vt:lpstr>zmb_admpop_adm2_2020</vt:lpstr>
      <vt:lpstr>zmb_admpop_adm3_2020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2021-03-31T13:31:00Z</dcterms:created>
  <dcterms:modified xsi:type="dcterms:W3CDTF">2021-04-01T07:42:10Z</dcterms:modified>
</cp:coreProperties>
</file>